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zer0cem-my.sharepoint.com/personal/a_cordero_zerocem_es/Documents/ASC LAB/3_Revistas/2_Journal_2025_Critical review ventilación natural/03_LR_NV_Optimization GPT y Claude/"/>
    </mc:Choice>
  </mc:AlternateContent>
  <xr:revisionPtr revIDLastSave="0" documentId="11_CCBDB0EAB8CE39C8804FA4D669C8195D50F309A7" xr6:coauthVersionLast="47" xr6:coauthVersionMax="47" xr10:uidLastSave="{00000000-0000-0000-0000-000000000000}"/>
  <bookViews>
    <workbookView xWindow="-120" yWindow="-120" windowWidth="29040" windowHeight="15720" xr2:uid="{00000000-000D-0000-FFFF-FFFF00000000}"/>
  </bookViews>
  <sheets>
    <sheet name="S11_Extraction" sheetId="1" r:id="rId1"/>
    <sheet name="Dictionary" sheetId="2" r:id="rId2"/>
    <sheet name="Instructions" sheetId="3" r:id="rId3"/>
    <sheet name="Script_S12_R" sheetId="4" r:id="rId4"/>
  </sheets>
  <definedNames>
    <definedName name="_xlnm._FilterDatabase" localSheetId="0" hidden="1">S11_Extraction!$A$2:$AM$84</definedName>
  </definedNames>
  <calcPr calcId="0"/>
</workbook>
</file>

<file path=xl/sharedStrings.xml><?xml version="1.0" encoding="utf-8"?>
<sst xmlns="http://schemas.openxmlformats.org/spreadsheetml/2006/main" count="3151" uniqueCount="1226">
  <si>
    <t>IDENTIFICATION</t>
  </si>
  <si>
    <t>BLOCK 1 — CONTEXT</t>
  </si>
  <si>
    <t>BLOCK 2 — IAQ</t>
  </si>
  <si>
    <t>BLOCK 3 — THERMAL COMFORT</t>
  </si>
  <si>
    <t>BLOCK 4 — ENERGY PERFORMANCE</t>
  </si>
  <si>
    <t>BLOCK 5 — OPTIMISATION &amp; CONTROL</t>
  </si>
  <si>
    <t>doc_id</t>
  </si>
  <si>
    <t>DOI</t>
  </si>
  <si>
    <t>Authors</t>
  </si>
  <si>
    <t>Year</t>
  </si>
  <si>
    <t>Title</t>
  </si>
  <si>
    <t>Journal</t>
  </si>
  <si>
    <t>Building_typology</t>
  </si>
  <si>
    <t>Climate_zone</t>
  </si>
  <si>
    <t>Country</t>
  </si>
  <si>
    <t>Study_type</t>
  </si>
  <si>
    <t>Simulation_tool</t>
  </si>
  <si>
    <t>Validation_method</t>
  </si>
  <si>
    <t>Occupancy_density</t>
  </si>
  <si>
    <t>IAQ_metric_primary</t>
  </si>
  <si>
    <t>CO2_threshold_ppm</t>
  </si>
  <si>
    <t>CO2_method</t>
  </si>
  <si>
    <t>IAQ_standard_ref</t>
  </si>
  <si>
    <t>IAQ_secondary_metric</t>
  </si>
  <si>
    <t>IAQ_monitoring_freq</t>
  </si>
  <si>
    <t>TC_metric_primary</t>
  </si>
  <si>
    <t>PMV_target_min</t>
  </si>
  <si>
    <t>PMV_target_max</t>
  </si>
  <si>
    <t>TC_comfort_model</t>
  </si>
  <si>
    <t>Occupant_feedback</t>
  </si>
  <si>
    <t>TC_season_focus</t>
  </si>
  <si>
    <t>Energy_metric</t>
  </si>
  <si>
    <t>Energy_saving_pct</t>
  </si>
  <si>
    <t>Energy_baseline</t>
  </si>
  <si>
    <t>Retrofit_included</t>
  </si>
  <si>
    <t>Energy_sim_period</t>
  </si>
  <si>
    <t>Ventilation_type</t>
  </si>
  <si>
    <t>Optim_method</t>
  </si>
  <si>
    <t>Problem_formulation</t>
  </si>
  <si>
    <t>Decision_var_primary</t>
  </si>
  <si>
    <t>Surrogate_model</t>
  </si>
  <si>
    <t>Performance_feedback</t>
  </si>
  <si>
    <t>Sensor_types</t>
  </si>
  <si>
    <t>Stochastic_occupancy</t>
  </si>
  <si>
    <t>Notes</t>
  </si>
  <si>
    <t>doc_01</t>
  </si>
  <si>
    <t>10.1016/j.buildenv.2025.112681</t>
  </si>
  <si>
    <t>Rajput TS &amp; Thomas A</t>
  </si>
  <si>
    <t>a coupled computational fluid dynamics and back-propagati...</t>
  </si>
  <si>
    <t>Building and Environment</t>
  </si>
  <si>
    <t>Residential</t>
  </si>
  <si>
    <t>Tropical</t>
  </si>
  <si>
    <t>IND</t>
  </si>
  <si>
    <t>Simulation+Field</t>
  </si>
  <si>
    <t>DesignBuilder + CFD (RANS k-e)</t>
  </si>
  <si>
    <t>Experimental validation</t>
  </si>
  <si>
    <t>4 pers/90.6 m2 (~0.044 p/m2)</t>
  </si>
  <si>
    <t>ACH</t>
  </si>
  <si>
    <t>Both</t>
  </si>
  <si>
    <t>ASHRAE 55</t>
  </si>
  <si>
    <t>Age of Air (AoA); indoor air velocity</t>
  </si>
  <si>
    <t>Hourly</t>
  </si>
  <si>
    <t>PMV-PPD</t>
  </si>
  <si>
    <t>ASHRAE 55 Static</t>
  </si>
  <si>
    <t>No</t>
  </si>
  <si>
    <t>HVAC load (kWh)</t>
  </si>
  <si>
    <t>Yes — rule-based baseline</t>
  </si>
  <si>
    <t>Feb-Mar (pre-summer)</t>
  </si>
  <si>
    <t>Mixed-mode</t>
  </si>
  <si>
    <t>NSGA-II</t>
  </si>
  <si>
    <t>Multi-objective constrained</t>
  </si>
  <si>
    <t>Temperature set-point</t>
  </si>
  <si>
    <t>ANN</t>
  </si>
  <si>
    <t>Simulation + monitoring</t>
  </si>
  <si>
    <t>CO2, temperature, air velocity</t>
  </si>
  <si>
    <t>Adjusted PMV for NV and AC separately (PMVNV, PMVAC). AoA as IAQ proxy. BPNN-PSO surrogate + NSGA-II. 78% energy reduction vs baseline maximum. Mixed-mode 16-floor MURB, Mumbai.</t>
  </si>
  <si>
    <t>doc_02</t>
  </si>
  <si>
    <t>10.1080/15435075.2022.2100706</t>
  </si>
  <si>
    <t>Wen L, Hiyama K, Huang Y &amp; Qin X</t>
  </si>
  <si>
    <t>a framework for rapid diagnosis of natural ventilation ef...</t>
  </si>
  <si>
    <t>International Journal of Green Energy</t>
  </si>
  <si>
    <t>Office</t>
  </si>
  <si>
    <t>Temperate</t>
  </si>
  <si>
    <t>CHN</t>
  </si>
  <si>
    <t>Simulation-only</t>
  </si>
  <si>
    <t>EnergyPlus (airflow network)</t>
  </si>
  <si>
    <t>None reported</t>
  </si>
  <si>
    <t>0.1 pers/m2</t>
  </si>
  <si>
    <t>Simulated</t>
  </si>
  <si>
    <t>Not specified</t>
  </si>
  <si>
    <t>Not reported</t>
  </si>
  <si>
    <t>Operative temperature</t>
  </si>
  <si>
    <t>Own model</t>
  </si>
  <si>
    <t>All year</t>
  </si>
  <si>
    <t>No baseline</t>
  </si>
  <si>
    <t>Annual</t>
  </si>
  <si>
    <t>Natural</t>
  </si>
  <si>
    <t>Exhaustive/parametric</t>
  </si>
  <si>
    <t>Single-objective</t>
  </si>
  <si>
    <t>Window aperture size</t>
  </si>
  <si>
    <t>None</t>
  </si>
  <si>
    <t>Simulation only</t>
  </si>
  <si>
    <t>Thermal Autonomy (TA) as alternative metric to thermal load. Optimal ACH=8 ac/h (TA=50%). Comfort range 21-27C. Shanghai office. Energy not explicitly quantified.</t>
  </si>
  <si>
    <t>doc_03</t>
  </si>
  <si>
    <t>10.1016/j.buildenv.2019.02.027</t>
  </si>
  <si>
    <t>Weerasuriya AU, Zhang X, Gan VJL &amp; Tan Y</t>
  </si>
  <si>
    <t>a holistic framework to utilize natural ventilation to op...</t>
  </si>
  <si>
    <t>Subtropical</t>
  </si>
  <si>
    <t>CFD (RANS RNG k-ε) + CONTAM 3.2 + eQUEST (BES)</t>
  </si>
  <si>
    <t>Cross-validation</t>
  </si>
  <si>
    <t>20 apts/floor; 2–4 pers/apt (14.5–35.9 m²)</t>
  </si>
  <si>
    <t>Cooling</t>
  </si>
  <si>
    <t>% energy saving</t>
  </si>
  <si>
    <t>Annual (cooling period Apr–Oct, 7 months)</t>
  </si>
  <si>
    <t>None (descriptive)</t>
  </si>
  <si>
    <t>Not optimization</t>
  </si>
  <si>
    <t>Ventilation rate</t>
  </si>
  <si>
    <t>Temperature</t>
  </si>
  <si>
    <t>BIM-based holistic framework integrating CFD+CONTAM+eQUEST. 40-storey Harmony Block, Hong Kong. Wind-driven NV: 8–27% savings; wind+buoyancy: up to 45%. NV effective only when ΔT(out–set)&lt;2°C. 45° oblique orientation better for leeward flats. Buoyancy dominant at lower floors; wind dominant at upper floors. Power-law ABL exponent α=0.28.</t>
  </si>
  <si>
    <t>doc_04</t>
  </si>
  <si>
    <t>10.1016/j.energy.2016.07.058</t>
  </si>
  <si>
    <t>Chen X, Yang H &amp; Sun K</t>
  </si>
  <si>
    <t>a holistic passive design approach to optimize indoor env...</t>
  </si>
  <si>
    <t>Energy</t>
  </si>
  <si>
    <t>EnergyPlus + jEPlus</t>
  </si>
  <si>
    <t>BEAM Plus HK (min 2 ACH)</t>
  </si>
  <si>
    <t>ASHRAE 55 Adaptive</t>
  </si>
  <si>
    <t>Not assessed</t>
  </si>
  <si>
    <t>Not applicable</t>
  </si>
  <si>
    <t>Annual (cooling period Apr-Oct)</t>
  </si>
  <si>
    <t>No sensors (simulation only)</t>
  </si>
  <si>
    <t>Multi-objective IEQ: daylight (DUT) + thermal comfort (TDT). ACR&gt;=2 ACH as constraint. LHS sensitivity analysis. BEAM Plus Hong Kong. High-rise public rental housing. TUT reduced 11.2% vs baseline.</t>
  </si>
  <si>
    <t>doc_05</t>
  </si>
  <si>
    <t>10.3390/buildings14072111</t>
  </si>
  <si>
    <t>Yang X, Zhang J, Cheng Y et al.</t>
  </si>
  <si>
    <t>a method to optimize dormitory environments based on pers...</t>
  </si>
  <si>
    <t>Buildings</t>
  </si>
  <si>
    <t>School</t>
  </si>
  <si>
    <t>Field measurement</t>
  </si>
  <si>
    <t>None (field measurement only)</t>
  </si>
  <si>
    <t>4 pers/16 m2 (0.25 p/m2)</t>
  </si>
  <si>
    <t>CO2 concentration</t>
  </si>
  <si>
    <t>Sensor (real)</t>
  </si>
  <si>
    <t>GB/T18883-2022; ISO; ASHRAE 62.1; CEN</t>
  </si>
  <si>
    <t>Formaldehyde (HCHO)</t>
  </si>
  <si>
    <t>Continuous</t>
  </si>
  <si>
    <t>Yes — surveys</t>
  </si>
  <si>
    <t>Heating</t>
  </si>
  <si>
    <t>Window opening schedule</t>
  </si>
  <si>
    <t>Monitored data only</t>
  </si>
  <si>
    <t>CO2, temperature, HCHO</t>
  </si>
  <si>
    <t>Field study in university dormitories (Sichuan). Closed windows: CO2&gt;2500 ppm. Fully open: ~600 ppm. Window ratio 1/6 achieves CO2&lt;900 ppm + temp 16.5-18C in winter. ACH 0.034-0.395. No optimization model.</t>
  </si>
  <si>
    <t>doc_06</t>
  </si>
  <si>
    <t>10.1016/j.energy.2019.02.035</t>
  </si>
  <si>
    <t>Hong T, Kim J &amp; Lee M</t>
  </si>
  <si>
    <t>a multi-objective optimization model for determining the ...</t>
  </si>
  <si>
    <t>Mixed</t>
  </si>
  <si>
    <t>Continental</t>
  </si>
  <si>
    <t>KOR</t>
  </si>
  <si>
    <t>EnergyPlus</t>
  </si>
  <si>
    <t>Statistical test</t>
  </si>
  <si>
    <t>0.3 pers/m2</t>
  </si>
  <si>
    <t>ISO 7730 / EN 15251</t>
  </si>
  <si>
    <t>ISO 7730</t>
  </si>
  <si>
    <t>Multiple</t>
  </si>
  <si>
    <t>Yes — reference building</t>
  </si>
  <si>
    <t>Annual (seasonal analysis)</t>
  </si>
  <si>
    <t>Hybrid</t>
  </si>
  <si>
    <t>5 objectives: PMV, TEC, NPV, IIC, GWP. 4.26e12 scenarios (31 window types x 2 vent x 8^12 setpoints). University library Seoul, monsoon climate. IAQ not directly assessed. Nighttime NV in cooling season.</t>
  </si>
  <si>
    <t>doc_07</t>
  </si>
  <si>
    <t>10.1016/j.solener.2021.07.008</t>
  </si>
  <si>
    <t>Aflaki A, Mahyuddin N, Al-Cheikh Mahmoud Z &amp; Baharum MR</t>
  </si>
  <si>
    <t>a novel methodological framework for the optimisation of ...</t>
  </si>
  <si>
    <t>Energy and Buildings</t>
  </si>
  <si>
    <t>MYS</t>
  </si>
  <si>
    <t>Review</t>
  </si>
  <si>
    <t>CFD; wind tunnel (literature review)</t>
  </si>
  <si>
    <t>Review of NV through building façade components and ventilation openings in tropical climates. Key findings: ventilation shafts, WWR, and building orientation are fundamental for NV. Cross-ventilation outperforms stack in tropical climates (negligible ΔT indoor-outdoor). Louvre angle 45° improves airflow. Active stacks (400×400 mm) increase air velocity up to 550%. Note: DOI in spreadsheet (10.1016/j.solener.2021.07.008) does not match the Aflaki 2015 review; flagging discrepancy.</t>
  </si>
  <si>
    <t>doc_08</t>
  </si>
  <si>
    <t>10.1016/j.buildenv.2025.113307</t>
  </si>
  <si>
    <t>Almazmumi S, Sun H, Liu M, Calautit J &amp; Jimenez-bescos C</t>
  </si>
  <si>
    <t>a novel wall windcatcher (wwc) natural ventilation system...</t>
  </si>
  <si>
    <t>GBR</t>
  </si>
  <si>
    <t>ANSYS FLUENT 2022 R1 (RANS k-ω standard)</t>
  </si>
  <si>
    <t>Airflow velocity (m/s)</t>
  </si>
  <si>
    <t>Yes — systems</t>
  </si>
  <si>
    <t>Not applicable (steady-state CFD scenarios)</t>
  </si>
  <si>
    <t>Envelope parameter</t>
  </si>
  <si>
    <t>Hot wire anemometer (Testo 405i); Ecowitt GW1100 weather station</t>
  </si>
  <si>
    <t>Novel wall windcatcher (WWC) for multi-story buildings. 3-storey CFD model (RANS k-ω). ABL power-law α=0.30. GCI mesh sensitivity: avg 11.44%. Optimised tube 2 (21×10 cm upper zone) resolves ground-floor reverse airflow. At 0° wind: +118%/+219%/+160% vs SSV on GF/1F/2F. Peak improvement at 90°: +734%. Field test Jan 24, Nottingham (52°N), Testo hot-wire probes. Retrofiit-ready modular design.</t>
  </si>
  <si>
    <t>doc_09</t>
  </si>
  <si>
    <t>10.1016/j.enbuild.2015.04.033</t>
  </si>
  <si>
    <t>A review on natural ventilation applications through building façade components and ventilation openings in tropical climates</t>
  </si>
  <si>
    <t>CFD; wind tunnel (literature review of studies)</t>
  </si>
  <si>
    <t>CO2; humidity</t>
  </si>
  <si>
    <t>Systematic review of NV through façade components and ventilation openings in tropical climates (Energy &amp; Buildings 101, 2015, pp.153–162). Key elements: ventilation shafts, WWR, building orientation. Cross-ventilation &gt; stack in tropics. Louvre angle 45° optimal. Active stacks 400×400mm increase velocity 550% (max 0.067 m/s). Building corridors enhance cross-ventilation. 70 references reviewed. | Title corrected 2026-09: previous value was a metadata error (RL/HVAC review title) inconsistent with DOI 10.1016/j.enbuild.2015.04.033.</t>
  </si>
  <si>
    <t>doc_10</t>
  </si>
  <si>
    <t>10.3390/buildings15121992</t>
  </si>
  <si>
    <t>Arya VK, Rasheed EO &amp; Samarasinghe DAS</t>
  </si>
  <si>
    <t>a simulation-based study of classroom iaq and thermal com...</t>
  </si>
  <si>
    <t>NZL</t>
  </si>
  <si>
    <t>Rhino 7 + Grasshopper + Ladybug/Honeybee + EnergyPlus</t>
  </si>
  <si>
    <t>Sensitivity analysis</t>
  </si>
  <si>
    <t>30 students + 2 teachers / 70 m² (2.3 student/m²)</t>
  </si>
  <si>
    <t>DQLS V2.0 (NZ MoE); ASHRAE 62.1; CIBSE; EN-15251; BB 99 &amp; 101</t>
  </si>
  <si>
    <t>ACH; ventilation rate (l/s/p); daylight (DA; UDI)</t>
  </si>
  <si>
    <t>Adaptive comfort</t>
  </si>
  <si>
    <t>EUI (kWh/m²·yr)</t>
  </si>
  <si>
    <t>Yes — envelope</t>
  </si>
  <si>
    <t>Annual (weekdays 09:00–15:30)</t>
  </si>
  <si>
    <t>CO2 sensor (simulated); temperature; daylight sensors (simulated)</t>
  </si>
  <si>
    <t>Avalon block typology (1955–62), 6 NZ climate zones. 238 total simulations. Optimal: ceiling +0.8m→3.5m, windows +0.3m vertical, WWR 25%, CLO 0.80 (southern zones), R-value increases (3.3–9.35%). TCP improvement 3–17%; CSP reduction 5–18%; heating load −6–16%; cooling load −10–35%; CO2 reduction 10–30%. DQLS V2.0 outperforms OECD standards in TCP (&gt;70% all zones). Outdoor CO2 fixed at 400–500 ppm.</t>
  </si>
  <si>
    <t>doc_11</t>
  </si>
  <si>
    <t>10.1016/j.apenergy.2018.11.016</t>
  </si>
  <si>
    <t>Chen Y, Tong Z, Wu W, Samuelson H, Malkawi A &amp; Norford L</t>
  </si>
  <si>
    <t>Achieving natural ventilation potential in practice: Control schemes and levels of automation</t>
  </si>
  <si>
    <t>Applied Energy</t>
  </si>
  <si>
    <t>EnergyPlus + Python (co-simulation via BCVTB)</t>
  </si>
  <si>
    <t>1 pers/30 m² (0.033 p/m²)</t>
  </si>
  <si>
    <t>MPC</t>
  </si>
  <si>
    <t>Temperature (indoor/outdoor); relative humidity; dew point</t>
  </si>
  <si>
    <t>Yes</t>
  </si>
  <si>
    <t>Three control schemes: spontaneous occupant, informed occupant (fixed-schedule + stochastic), fully automatic (heuristic + MPC). MPC: 17-80% cooling energy savings, zero discomfort-degree hours. Heuristic: 10-66%. Spontaneous: 0-65%. Informed control worst thermal performance (&gt;2000 DDH in warm climates). 5 Chinese cities: Harbin, Beijing, Shanghai, Guangzhou, Kunming. 10-min timestep co-simulation EnergyPlus+Python (BCVTB). Comfort range 20-25°C. Logistic model for spontaneous control (Haldi &amp; Robinson 2009). MPC operation frequency: median 18-21 ops/day.</t>
  </si>
  <si>
    <t>doc_12</t>
  </si>
  <si>
    <t>10.1016/j.buildenv.2023.110519</t>
  </si>
  <si>
    <t>Chen EX, Han X, Malkawi A, Zhang R &amp; Li N</t>
  </si>
  <si>
    <t>Adaptive model predictive control with ensembled multi-time scale deep-learning models for smart control of natural ventilation</t>
  </si>
  <si>
    <t>USA</t>
  </si>
  <si>
    <t>Modelica Buildings Library (virtual testbed)</t>
  </si>
  <si>
    <t>Not specified (office room)</t>
  </si>
  <si>
    <t>ASHRAE 62.1</t>
  </si>
  <si>
    <t>Temperature; heating demand</t>
  </si>
  <si>
    <t>2 months (Nov–Dec)</t>
  </si>
  <si>
    <t>CO2 sensor (simulated); indoor air temperature; outdoor weather station (wind speed, solar radiation, dry bulb temp)</t>
  </si>
  <si>
    <t>EMA-MPC: ensembled multi-time scale LSTM (fast 1-min + slow 15-min) + bound control + online model adaptation (24h interval). Compared vs RBC, basic MPC, enhanced MPC. EMA-MPC: unmet CO2 hours reduced 86% vs RBC; occupied hours T&lt;19°C reduced 93% vs basic MPC, 44% vs enhanced MPC. Heating demand virtually identical across controllers (~457 kWh/60 days). Ensembled-LSTM reduces MAE 78.6% (CO2) and 88.9% (Troom) vs single LSTM for 5h prediction horizon. Prediction horizon: 5h; control horizon: 15 min. CO2 comfort zones: low &lt;800ppm, high 800-1000ppm, unmet &gt;1000ppm. Building: HouseZero (Harvard), 100% NV + geothermal radiant floor. Case: single south-facing room, winter.</t>
  </si>
  <si>
    <t>doc_13</t>
  </si>
  <si>
    <t>10.3390/su17062432</t>
  </si>
  <si>
    <t>Tsang TW, Mui KW, Cheung KH &amp; Wong LT</t>
  </si>
  <si>
    <t>Sustainability</t>
  </si>
  <si>
    <t>HKG</t>
  </si>
  <si>
    <t>EnergyPlus (v24.1.0)</t>
  </si>
  <si>
    <t>1 pers/bedroom (3.81×2.05×2.7 m)</t>
  </si>
  <si>
    <t>Humidity; air velocity</t>
  </si>
  <si>
    <t>TSV (survey)</t>
  </si>
  <si>
    <t>Annual (cooling season simulation)</t>
  </si>
  <si>
    <t>WBGT meter (operative temp, radiant temp, humidity); air velocity transducer (TSI 8455); sound level meter</t>
  </si>
  <si>
    <t>Within-subject study, N=15 (10M/5F), Hong Kong public housing (New Cruciform floor plan). Two nights: AC vs mechanical fan. Comfort range TSV±1: 22.2-28.2°C. Fan condition: To=27.2°C, RH=72%; AC: To=24.4°C, RH=60%. Participants adapted bedding insulation (from 2.80 to 1.84 clo). PMV comparable between conditions (0.55 vs 0.75). No significant difference in sleep quality (PSQI). Increasing set-point 22→28°C: cooling nights reduced 65%→23%; energy reduced ~95%. Logistic TSV-temperature model: TSV=0.33·T−8.36 (R²=0.65). Neutral temperature: 25.3°C. Fanger PMV inadequate for sleeping comfort prediction.</t>
  </si>
  <si>
    <t>doc_14</t>
  </si>
  <si>
    <t>10.1016/j.egypro.2016.06.065</t>
  </si>
  <si>
    <t>Chen X &amp; Yang H</t>
  </si>
  <si>
    <t>An exhaustive parametric study on major passive design strategies of a typical high-rise residential building in Hong Kong</t>
  </si>
  <si>
    <t>Energy Procedia</t>
  </si>
  <si>
    <t>EnergyPlus (simulation not explicitly named but implied via standard BES)</t>
  </si>
  <si>
    <t>BEAM Plus HK</t>
  </si>
  <si>
    <t>Monte Carlo Analysis (MCA) + Latin Hypercube Sampling (LHS), N=1000. Sensitivity analysis using SRC/SRRC. 9 passive design parameters: building orientation, external obstruction angle, wall thermal resistance, wall specific heat, window SHGC, window U-value, WWR, overhang projection ratio, infiltration flow rate. Key finding: Window SHGC most influential for both cooling energy and operative temperature. Building orientation significant for operative temperature but not cooling energy. High-rise PRH (Public Rental Housing), floor area 23.2 m², H=2.7m, west-facing. ACS and PMV thermal comfort models compared. Baseline: SHGC=0.57, WWR=0.40, U-win=5.69 W/m²K.</t>
  </si>
  <si>
    <t>doc_15</t>
  </si>
  <si>
    <t>10.1016/j.renene.2021.05.004</t>
  </si>
  <si>
    <t>Li Y, Long T, Bai X, Wang L, Li W, Liu S, Lu J, Cheng Y, Ye K &amp; Huang S</t>
  </si>
  <si>
    <t>An experimental investigation on the passive ventilation and cooling performance of an integrated solar chimney and earth-air heat exchanger</t>
  </si>
  <si>
    <t>Renewable Energy</t>
  </si>
  <si>
    <t>Other</t>
  </si>
  <si>
    <t>None (full-scale experimental only)</t>
  </si>
  <si>
    <t>Not applicable (empty test chamber 3×3×3 m)</t>
  </si>
  <si>
    <t>Humidity ratio; latent cooling capacity</t>
  </si>
  <si>
    <t>24 h (1 August 2020, sunny summer day)</t>
  </si>
  <si>
    <t>K-type thermocouples (Omega SA3-K-120); threaded probe thermocouples (WRNT-01); humidity+temp sensors (HIOKI 3641-20); airflow sensors (Omega FMA902A-MA); solar radiation meter (TBQ-2)</t>
  </si>
  <si>
    <t>Full-scale experimental SCEAHE system, Tongling, Anhui (hot-summer cold-winter). SC: horizontal collector 7×1.5×0.3 m (south-facing, 30° tilt) + vertical chimney H=6m, D=0.3m. EAHE: PVC pipe D=0.3m, L=30m, buried 3m deep. Peak airflow: 252 m³/h at 13:30. Night airflow (thermal mass buoyancy): 50-70 m³/h. Max outlet air cooling: ΔT=12.5°C. Max total/sensible/latent cooling: 1398/892/611.7 W. Subsoil at 3m: ~23°C (nearly constant). Outlet air RH: 91.6-96.5%. 24h NV achieved by combined SC + thermal mass. Time lag SC-airflow: ~1.5h. Soil temp increase 0.15m from pipe: ~0.8-0.9°C over 24h.</t>
  </si>
  <si>
    <t>doc_16</t>
  </si>
  <si>
    <t>10.1016/j.enbuild.2023.112899</t>
  </si>
  <si>
    <t>Wang Z, Calautit J, Tien PW, Wei S, Zhang W, Wu Y &amp; Xia L</t>
  </si>
  <si>
    <t>An occupant-centric control strategy for indoor thermal comfort, air quality and energy management</t>
  </si>
  <si>
    <t>Energy &amp; Buildings</t>
  </si>
  <si>
    <t>IES Virtual Environment (VE)</t>
  </si>
  <si>
    <t>Not specified (lecture room 13×7.5×2.5 m)</t>
  </si>
  <si>
    <t>CIBSE Guide A</t>
  </si>
  <si>
    <t>Temperature; relative humidity</t>
  </si>
  <si>
    <t>Indirect only</t>
  </si>
  <si>
    <t>5 days (4 winter days analysed)</t>
  </si>
  <si>
    <t>Rule-based</t>
  </si>
  <si>
    <t>AI-powered cameras (Faster R-CNN, Inception V2); CO2 sensor (simulated via IES VE); temperature; relative humidity</t>
  </si>
  <si>
    <t>OCHNVC strategy: 3 sub-controllers: (1) flexible on-off (occupancy-based heating); (2) heating setpoint controller (Pareto-front normalized energy-comfort metric d_setpoint,n); (3) window openness controller (5 types). Best policy: Type 05 (openness=2.75×gains²/100). Results vs conventional baseline: heating energy −0.6 to −29.0%; thermal comfort improvement 0-58.8% (aPMV from 0.34/0.14 to 0.26); CO2&lt;1000ppm from 59.7%→89.2% of occupied time. AI cameras (Faster R-CNN+Inception V2): detect occupant presence/count/activity + window status. ANN models (R²&gt;0.94): predict heating load, CO2, PMV. Lecture room Univ. Nottingham UK, winter (T_out=2.4-10°C). No mechanical ventilation — IAQ entirely via NV. Infiltration 1 ACH. U-wall=0.26, U-win=1.6 W/m²K. Simulation only (IES VE); field deployment pending.</t>
  </si>
  <si>
    <t>doc_17</t>
  </si>
  <si>
    <t>10.3390/en17236097</t>
  </si>
  <si>
    <t>Otoo C, Lu T &amp; Lü X</t>
  </si>
  <si>
    <t>Application of Mixed-Mode Ventilation to Enhance Indoor Air Quality and Energy Efficiency in School Buildings</t>
  </si>
  <si>
    <t>Energies</t>
  </si>
  <si>
    <t>FIN</t>
  </si>
  <si>
    <t>Not applicable (literature review)</t>
  </si>
  <si>
    <t>ASHRAE 62.1; WHO</t>
  </si>
  <si>
    <t>PM2.5; VOC; NO2</t>
  </si>
  <si>
    <t>CO2, temperature, humidity, occupancy</t>
  </si>
  <si>
    <t>Systematic literature review (122 studies). MMV combines NV and MV. Energy savings 20–60% across climates; temperate climates average 60–70%. Automated controls reduced CO2&gt;1200ppm hours by 85% (Khatami et al.). PMV-based control most common. Three MMV configurations: concurrent, change-over, zoned. Key components: operable windows, VAV+AHU, sensors, BAS. AI/ML integration emerging. No original data — all findings synthesized from reviewed literature.</t>
  </si>
  <si>
    <t>doc_18</t>
  </si>
  <si>
    <t>10.3390/en16020592</t>
  </si>
  <si>
    <t>Grygierek K, Nateghi S, Ferdyn-Grygierek J &amp; Kaczmarczyk J</t>
  </si>
  <si>
    <t>Controlling and Limiting Infection Risk, Thermal Discomfort, and Low Indoor Air Quality in a Classroom through Natural Ventilation Controlled by Smart Windows</t>
  </si>
  <si>
    <t>POL</t>
  </si>
  <si>
    <t>EnergyPlus 9.4 + CONTAM 3.4 + Python (co-simulation via FMI)</t>
  </si>
  <si>
    <t>30 pers / 54 m² (0.56 p/m²)</t>
  </si>
  <si>
    <t>EN 16798-1:2019; ASHRAE 62-2001</t>
  </si>
  <si>
    <t>ACH; infection risk (R0)</t>
  </si>
  <si>
    <t>EN 15251 / EN 16798</t>
  </si>
  <si>
    <t>Annual (Sep–Jun school year)</t>
  </si>
  <si>
    <t>GA (single-obj)</t>
  </si>
  <si>
    <t>CO2 sensor (simulated); indoor temperature; outdoor temperature</t>
  </si>
  <si>
    <t>Polish classroom 9×6×3.3 m, Warsaw TMY climate. Genetic algorithm (pymoo) optimizes 8 controller parameters. 7 cases: base (breaks only), Cases 2-7 with smart windows±masks±air cleaners. CO2&lt;950 ppm for 80% occupied time (Cases 2-6) vs only 5% baseline. ACH up to 12 h⁻¹. Heating demand increased ~190% (Case 2) vs baseline. Infection R0: ventilation alone insufficient—R0&gt;1 for 80% of time. Combined masks+2 HEPA cleaners (Case 6): R0&gt;1 only 1.6% of time. Halving students (Case 7): R0&gt;1 only 4.2%. Wells-Riley infection model. Gravity chimneys modeled. Key finding: NV cannot control infection risk alone; additional measures needed.</t>
  </si>
  <si>
    <t>doc_19</t>
  </si>
  <si>
    <t>10.1016/j.applthermaleng.2025.126019</t>
  </si>
  <si>
    <t>Huang Z, Li Q, He Y, Ding X, Dong Y &amp; Gao W</t>
  </si>
  <si>
    <t>Coupled heat and mass transfer analysis for indoor air quality and thermal comfort in naturally ventilated offices</t>
  </si>
  <si>
    <t>Applied Thermal Engineering</t>
  </si>
  <si>
    <t>ANSYS Fluent (RANS RNG k-ε + DO radiation + Boussinesq)</t>
  </si>
  <si>
    <t>20 pers / 90 m² (0.22 p/m²)</t>
  </si>
  <si>
    <t>ASHRAE Handbook of Fundamentals</t>
  </si>
  <si>
    <t>PM2.5; temperature; humidity; air velocity</t>
  </si>
  <si>
    <t>3 h (winter) + spring experimental campaigns Dec 2023–Apr 2024</t>
  </si>
  <si>
    <t>Platinum resistance temperature sensors; testo 400 IAQ monitor (CO2, RH, PM2.5); anemometer (Omega FMA902A)</t>
  </si>
  <si>
    <t>Kunming office 11.6×7.8×3.8 m, 20 PCs, 4th floor. TMC (thermal-mass coupling) CFD model vs standard CFD: error reduced 64%. 10 cases varying ΔT (4°C winter / −1.6°C spring), ventilation mode (PCV/SCV), window/door opening rates, equipment load. ΔT=4°C: buoyancy-driven convection dominant, CO2 stratifies upper layer 15–30% higher. ΔT=−1.6°C: natural convection suppressed, CO2 accumulates near floor 22–35% higher. GSA: ΔT primary factor (SRC=−0.72 for PMV); door+window openings control 68% of PRR. PMV regression: PMV=0.2886−0.3884·ΔT+0.0003·C−0.2509·θw−0.0576·θd (R²=0.997). PRR regression R²=0.973 with nonlinear CO2 term. Case 1 (SCV, θw=25%): CO2=1511 ppm (worst). ADPI 54–84% across cases.</t>
  </si>
  <si>
    <t>doc_20</t>
  </si>
  <si>
    <t>10.1177/17442591231219025</t>
  </si>
  <si>
    <t>Tran Van Quang, Doan DT, Nguyen LP &amp; Yun GY</t>
  </si>
  <si>
    <t>Data-driven prediction of indoor airflow distribution in naturally ventilated residential buildings using combined CFD simulation and machine learning (ML) approach</t>
  </si>
  <si>
    <t>Journal of Building Physics</t>
  </si>
  <si>
    <t>OpenFOAM 8.0 (RANS RNG k-ε)</t>
  </si>
  <si>
    <t>Not specified (multi-storey residential, 6 floors)</t>
  </si>
  <si>
    <t>Temperature distribution</t>
  </si>
  <si>
    <t>ANN surrogate</t>
  </si>
  <si>
    <t>No sensors — simulation only; validated against Mu et al. 2016 wind tunnel data</t>
  </si>
  <si>
    <t>6-storey residential building (9×9×17.7 m), Korea. 29 CFD scenarios (18 training + 11 test), varying inlet velocity (2–3 m/s) and temperature (8–37°C). DNN: feedforward, 1–5 hidden layers, 20–200 neurons, tanh activation, Adam optimizer, Grid Search. Velocity: R²=0.98 (train) / 0.89 (test), RMSE=0.04/0.14. Temperature: R²=0.97 (train) / 0.90 (test), RMSE=0.1/0.24. 80% reduction in computation time vs CFD (13 h DNN vs 580 h CFD for 29 cases). Relative error &lt;0.5% for most predictions; mean error ~6% on test set. Validated against Mu et al. (2016) wind tunnel (1:30 scale). RANS k-ε known limitation in wake zone. Key finding: DNN surrogate enables near-real-time airflow prediction for natural ventilation design optimization.</t>
  </si>
  <si>
    <t>doc_21</t>
  </si>
  <si>
    <t>10.3390/su17010058</t>
  </si>
  <si>
    <t>Hosamo H &amp; Mazzetto S</t>
  </si>
  <si>
    <t>Data-Driven Ventilation and Energy Optimization in Smart Office Buildings: Insights from a High-Resolution Occupancy and Indoor Climate Dataset</t>
  </si>
  <si>
    <t>DNK</t>
  </si>
  <si>
    <t>Python (custom data analysis; no energy simulation engine)</t>
  </si>
  <si>
    <t>6 office rooms (academic building, Denmark)</t>
  </si>
  <si>
    <t>ASHRAE guidelines (800 ppm threshold)</t>
  </si>
  <si>
    <t>Temperature; occupancy count (YOLOv5); window state; solar radiation</t>
  </si>
  <si>
    <t>Annual (Feb–Dec 2023, ~10 months)</t>
  </si>
  <si>
    <t>Mechanical (for comparison)</t>
  </si>
  <si>
    <t>CO2/IAQ set-point</t>
  </si>
  <si>
    <t>CO2 sensor; temperature sensor; occupancy camera (YOLOv5); window state sensor; solar radiation sensor; BMS power meter</t>
  </si>
  <si>
    <t>Five DCV strategies evaluated on real dataset: occupancy-based (50% saving, best), temperature-based (37.27%), time-based (6.94%), CO2-DCV (1.09%), window-open (0%). Pearson correlation analysis. Min-Max normalization. Dataset: 5-min resolution, 6 rooms. South facade solar radiation: r=0.83 with ventilation power. YOLOv5 occupancy data. No energy simulation — all savings derived from real operational data and rule-based simulation on measured dataset.</t>
  </si>
  <si>
    <t>doc_22</t>
  </si>
  <si>
    <t>10.3390/en15228456</t>
  </si>
  <si>
    <t>Grygierek K &amp; Ferdyn-Grygierek J</t>
  </si>
  <si>
    <t>Design of Ventilation Systems in a Single-Family House in Terms of Heating Demand and Indoor Environment Quality</t>
  </si>
  <si>
    <t>4 pers / semi-detached house (84 m² usable area)</t>
  </si>
  <si>
    <t>EN 16798-1:2019 (Category II: 800 ppm above outdoor = 1200 ppm total)</t>
  </si>
  <si>
    <t>Thermal discomfort hours; infiltration ACH</t>
  </si>
  <si>
    <t>Annual (TMY Katowice, Poland; 15-min timestep)</t>
  </si>
  <si>
    <t>CO2 sensor (simulated); indoor/outdoor temperature sensors (simulated)</t>
  </si>
  <si>
    <t>6 ventilation cases: AW (natural, windows only), AWCO2 (windows + CO2), F (supply fans), FCO2 (fans + CO2), ET (fans + earth tube), ETCO2 (fans + earth tube + CO2). Multi-objective: F1 (discomfort+pollution hours) vs F2 (heating demand kWh). NSGA-II via pymoo 0.5.0. CO2-controlled systems increase heating demand significantly (+CO2 sensors: AWCO2 heat demand 2.2× baseline infiltration-only). Earth tube: 16% heat saving vs fans-only (FCO2 vs ETCO2, minF1B). Optimal ET parameters: pipe radius=0.055m, depth=1.6m, length varies 20–50m per room. NMBE=0.1%, CVRMSE=2.4% (model validation, ASHRAE Guideline 14). Key finding: CO2 sensors supply higher ventilation → higher heat demand; earth tube partially compensates.</t>
  </si>
  <si>
    <t>doc_23</t>
  </si>
  <si>
    <t>10.1016/j.buildenv.2020.106994</t>
  </si>
  <si>
    <t>Yoon N, Norford L, Malkawi A, Samuelson H &amp; Piette MA</t>
  </si>
  <si>
    <t>Dynamic metrics of natural ventilation cooling effectiveness for interactive modeling</t>
  </si>
  <si>
    <t>EnergyPlus + Grasshopper + Ladybug + Honeybee + Rhino 3D + Python</t>
  </si>
  <si>
    <t>0.02 pers/m² (PNNL prototype single-family detached house)</t>
  </si>
  <si>
    <t>ASHRAE 62.1 (ventilation rate Vbz formula cited)</t>
  </si>
  <si>
    <t>ACH; airflow rate (m³/s)</t>
  </si>
  <si>
    <t>Annual (Jan–Dec) and seasonal (May–Oct)</t>
  </si>
  <si>
    <t>No sensors — simulation only (weather data via Ladybug; airflow via EnergyPlus AFN)</t>
  </si>
  <si>
    <t>Proposes two new NVP metrics: NVCE (Natural Ventilation Cooling Effectiveness, 0–1 scale) and CPUR (Climate Potential Utilization Ratio = NVCE/CPNV). NVCE measures fraction of cooling power provided by NV vs required. CPUR&gt;1 possible with adequate thermal mass. Three cities: Phoenix AZ (CPNV=0.66), Fresno CA (CPNV=0.83), Denver CO (CPNV=0.94). 375 parametric cases (3 cities × 5 airflow × 5 heat gains × 5 thermal mass). Key finding: 'more airflow' and 'heavier mass' not always better. Transient formulation extends original NVE for thermal mass. Interactive Grasshopper workflow. CPUR&gt;1 achievable via thermal lag. PNNL prototype building (IECC 2018). No optimization — metric proposal and demonstration.</t>
  </si>
  <si>
    <t>doc_24</t>
  </si>
  <si>
    <t>10.1016/j.buildenv.2023.110966</t>
  </si>
  <si>
    <t>Cho J, Lee H &amp; Heo Y</t>
  </si>
  <si>
    <t>Dynamic rule-based change-over ventilation strategy with weather-responsive air-conditioning setpoints</t>
  </si>
  <si>
    <t>EnergyPlus + JEPlus + EA (DesignBuilder geometry)</t>
  </si>
  <si>
    <t>18.58 m²/person (reference Korean office building)</t>
  </si>
  <si>
    <t>Not specified (CO2 not a control variable; temperature-based control only)</t>
  </si>
  <si>
    <t>April–October (intermediate + summer season, Seoul TMY; 10-min timestep)</t>
  </si>
  <si>
    <t>Indoor/outdoor temperature sensors (simulated); no CO2 sensors</t>
  </si>
  <si>
    <t>Change-over MMV strategy with 3 hierarchical components: (1) DWOARF (Dynamic Window Opening Area Ratio Function, piecewise linear); (2) Mode selection scheme with thermal buffering (suspends all systems when moderate-low indoor T to prevent subcooling); (3) WRASFs (Weather-Responsive A/C Setpoint Functions, step functions). Optimised per orientation zone (E/W/S/N) by NSGA-II. Three development levels: L1=DWOARF alone (20.52% saving); L2=DWOARF+thermal buffering (21.09%); L3=full strategy (59.77%). CV constraint ≤3% (comfort violation: T outside 20–28°C). Natural ventilation duration: 46.91%/38.83%/46.81%/42.01% of occupied time (L3, E/W/S/N). Heating load increases in L1 due to subcooling. WRASFs key to large saving: cooling setpoints raised from 26°C to 27–28°C when outdoor T is moderate. Raising setpoint alone only reduces cooling load ~8%; NV expansion provides the rest. IAQ not considered.</t>
  </si>
  <si>
    <t>doc_25</t>
  </si>
  <si>
    <t>10.1016/j.buildenv.2024.112121</t>
  </si>
  <si>
    <t>Canals Casals L, Alegria-Sala A, Bonet N &amp; Macarulla M</t>
  </si>
  <si>
    <t>Educational environments' energy demand optimization based on indoor CO2 concentration and temperature: Together better than separately</t>
  </si>
  <si>
    <t>Mediterranean</t>
  </si>
  <si>
    <t>ESP</t>
  </si>
  <si>
    <t>Python (custom MILP via PyScipOpt; ECM grey-box models for CO2 and thermal dynamics)</t>
  </si>
  <si>
    <t>19–25 pers per classroom (type A: 19/160m³; B: 23/158m³; C: 23/149m³; D: 25/148m³)</t>
  </si>
  <si>
    <t>RITE (Spanish regulation); IDA1/IDA2 air quality classes; COVID-19 national regulations (−100 ppm reduction)</t>
  </si>
  <si>
    <t>Winter day (Feb avg) and summer day (Jun avg); 8:00–17:00; 1-min timestep</t>
  </si>
  <si>
    <t>CO2 sensor (real, IAQ4EDU project); indoor temperature sensor; outdoor temperature sensor (Meteo.cat)</t>
  </si>
  <si>
    <t>MILP optimization (PyScipOpt) on grey-box ECM models for CO2 (eq.1: dCint) and temperature (eq.2: dTint). 4 school types (A=preschool, B=childhood, C=elementary, D=highschool) × 3 climate zones (coastal, continental, Pyrenees) × 2 seasons = 24 scenarios. Objective: minimize total HVAC energy (fan + recycle + heating/cooling). HVAC config: heat exchanger (η=78%) + central heater, fan on whenever HVAC on. Qvent: 1368/1035/1035/1125 m³/h for A/B/C/D (IDAE guide IDA1/IDA2). At full occupancy, ventilation activates every ~12 min. Optimized system reduces consumption ~40–60% vs conditional system. Comparison: basic conditional vs adjusted conditional (same working limits as optimization) vs optimized. Adjusted conditional saves most of the benefit; optimization adds additional 5–10% vs adjusted conditional. Computation: 2h per scenario (Intel i7-1165G7). Recommended use: one-day horizon setpoint calibration for legacy conditional equipment. CO2 limit: 418 ppm outdoor (NOAA 2022 Mauna Loa) to 918 ppm (= 500 ppm above outdoor, IDA2). Pre-school IDA1 limit lower (768 ppm). Summer energy savings greater than winter.</t>
  </si>
  <si>
    <t>doc_26</t>
  </si>
  <si>
    <t>10.1007/s12273-023-0992-6</t>
  </si>
  <si>
    <t>Zhang W, Zhang W, Zhang H, Xuan Y &amp; Liu X</t>
  </si>
  <si>
    <t>Effective improvement of a local thermal environment using multi-vent module-based adaptive ventilation</t>
  </si>
  <si>
    <t>Building Simulation</t>
  </si>
  <si>
    <t>ANSYS Fluent 2020 (standard k-ε; RANS; DO radiation)</t>
  </si>
  <si>
    <t>16 pers / 80 m² (0.20 p/m²); classroom 10×8×3 m</t>
  </si>
  <si>
    <t>ASHRAE 113-2013; ASHRAE 55-2017; ISO 7730</t>
  </si>
  <si>
    <t>SVE4 (scale for ventilation efficiency No.4); CO2 as tracer gas for zoning</t>
  </si>
  <si>
    <t>Steady-state + transient (2 min dynamic pulsating)</t>
  </si>
  <si>
    <t>No sensors — simulation only (CO2 tracer; temperature; velocity probes simulated)</t>
  </si>
  <si>
    <t>MAV (multi-vent module-based adaptive ventilation) vs MV. 4 scenarios (General/Discussion/Meeting/Debate). 8 CFD cases (4 MAV + 4 MV). Metrics: SVE4 (zoning), ADPI (&gt;80% all cases; MAV up to 11.1% higher than MV), PMV (MAV avg −0.37 to −0.53 vs MV −0.53 to −0.74; max diff 0.207), DR (MAV 2.35–4.44% vs MV 2.94–7.03%; MV-Discussion peak 26.39%). Dynamic pulsating air supply: TAPMV −0.4 to −0.7 vs steady PMV −0.61 to −0.81; TAPPD 8.47–15.86% vs 13.2–19.04%. Validation: PCC temp=0.912, velocity=0.672; RMSE temp=0.551°C, velocity=0.031 m/s. Grid: 1,043,188 cells normal. Supply air: 22.5°C, 1.2 m/s. Met=1.0 Met; Clo=0.50; RH=50%.</t>
  </si>
  <si>
    <t>doc_27</t>
  </si>
  <si>
    <t>10.3390/buildings11120595</t>
  </si>
  <si>
    <t>Ferdyn-Grygierek J, Sarna I &amp; Grygierek K</t>
  </si>
  <si>
    <t>Effects of Climate Change on Thermal Comfort and Energy Demand in a Single-Family House in Poland</t>
  </si>
  <si>
    <t>EnergyPlus 9.4 + OpenStudio (SketchUp Plug-in)</t>
  </si>
  <si>
    <t>4 pers / ~84 m² semi-detached house</t>
  </si>
  <si>
    <t>Annual (TMY / real 2018 / future 2050; 15-min timestep)</t>
  </si>
  <si>
    <t>Apar235 recorders (temp, ±0.5°C, 15-min); simulation only for optimization</t>
  </si>
  <si>
    <t>Three climate scenarios: TMY (avg 8.0°C), real 2018 (10.1°C), future 2050 A2 scenario (11.0°C, CCWorldWeatherGen). Two insulation levels: standard (Uwall=0.23 W/m²K) vs passive (0.15 W/m²K). Two cooling types: mechanical AC (splits) and passive ventilative cooling (window opening). NSGA-II via MATLAB optimizes window controller (12 parameters; two objectives: Hdis + Qheat). Validation: NMBE≤2%, CVRMSE≤3%. Key results: Case 1 (TMY, standard, mechanical): Qheat=3689 kWh, Qcool=636 kWh. Future passive standard (case 6): Qcool≈89% of Qheat. Passive cooling: min Hdis=31h (case 9, real 2018, standard) to 433h (case 12, future 2050, passive). Future climate: summer Hdis up to 18.1% of occupied hours. Ventilative cooling: heating demand increases 2–8% vs mechanical; total costs 5–21% lower than mechanical. Sherman-Grimsrud infiltration model (ELA). Window controller: IF-THEN in EMS; max ACH=7 h⁻¹.</t>
  </si>
  <si>
    <t>doc_28</t>
  </si>
  <si>
    <t>10.3390/en13112740</t>
  </si>
  <si>
    <t>Grygierek K, Ferdyn-Grygierek J, Guminska A et al.</t>
  </si>
  <si>
    <t>Energy and Environmental Analysis of Single-Family Houses Located in Poland</t>
  </si>
  <si>
    <t>EnergyPlus (via OpenStudio) + One Click LCA + BIMestiMate + MATLAB (NSGA-II)</t>
  </si>
  <si>
    <t>4 pers / 150 m² two-storey house (0.027 p/m²)</t>
  </si>
  <si>
    <t>GHG emissions (kgCO2e, GWP100)</t>
  </si>
  <si>
    <t>Annual (TMY Warsaw; 25-year LCC; 15-min timestep)</t>
  </si>
  <si>
    <t>No sensors — simulation only</t>
  </si>
  <si>
    <t>Comparative LCA+LCC+TC analysis for 4 building variants: BSTD (brick standard, Uwall=0.23 W/m²K), BPASS (brick passive, 0.10), WSTD (wood standard), WPASS (wood passive). 5 heat sources: electric boiler, gas boiler, coal boiler, heat pump+PV, biomass boiler. LCC 25 years: f=3.9%, i=2.5%, e=2%. GWP100 (AR4). Two objectives: Hdis (adaptive EN15251, Cat.II) + Qheat. NSGA-II (MATLAB) + utopia-point MCDM. Key findings: Wood lower GHG (−11400/−9600 kgCO2e vs brick for STD/PASS); passive insulation increases GHG from materials (+6500–8100 kgCO2e) but reduces operational GHG &gt;40%. Electric boiler worst GWP (Poland: 0.95 kgCO2e/kWh electricity). Heat pump+PV best environmental option. Coal boiler cheapest (LCC). Wooden buildings: Hdis 310–359 h higher than brick (less thermal mass). BPASS: 27–33% summer overheating. WPASS study-room: 60% occupied hours too warm. Max ACH 7 h⁻¹ with windows open. WSTD+heat pump+PV optimal trade-off. Infiltration: Sherman-Grimsrud ELA. Window controller IF-THEN in EMS (MATLAB-EnergyPlus co-simulation).</t>
  </si>
  <si>
    <t>doc_29</t>
  </si>
  <si>
    <t>10.1016/j.enbuild.2024.115076</t>
  </si>
  <si>
    <t>Maiques M, Tarragona J, Gangolells M &amp; Casals M</t>
  </si>
  <si>
    <t>Energy implications of meeting indoor air quality and thermal comfort standards in Mediterranean schools using natural and mechanical ventilation strategies</t>
  </si>
  <si>
    <t>EnergyPlus V23.1.0</t>
  </si>
  <si>
    <t>~1.5 pers/m² peak (4 classrooms × 37.2 m², ages 4/10/13/16)</t>
  </si>
  <si>
    <t>RITE (Spain); Spanish TBC; IDA 2 category (900 ppm)</t>
  </si>
  <si>
    <t>UHCO2 (unmet CO2 hours %); UHT (unmet temperature hours %)</t>
  </si>
  <si>
    <t>Annual (11 Mediterranean climate zones; TMY-PVGIS; 88 simulations total)</t>
  </si>
  <si>
    <t>CO2 sensor (simulated); indoor/outdoor temperature sensor (simulated); no real sensors</t>
  </si>
  <si>
    <t>4 ventilation strategies: NV100 (full window+door opening 10 min/h), NV50 (half opening), IMV (indirect mechanical: 12.5 L/s/person, IDA2), DMV (direct mechanical: CO2-controlled ≤900 ppm). 11 Spanish Mediterranean climate zones (E1 to A4; Köppen Cfb to Bsh). 2 orientations (South/North). 4 age groups (4/10/13/16 yr). CO2 generation rate per ASTM D6245-18 (Monte Carlo, BMR-based). Key results: NV always ensures IAQ in mild climates (B3/B4/C2/C3): UHco2&lt;1%, UHT&lt;5%. NV suboptimal in extreme climates (UHT up to 14% cold, 5% hot). Mechanical always meets both standards (0% unmet). Heating demand NV100 vs DMV: E-zone 3670 vs 211 kWh/m²yr (94% saving); A-zone 1279 vs 82 kWh/m²yr. DMV vs IMV: 8% HVAC saving. South orientation: up to 42% (1989 kWh/m²yr) savings vs North for NV; minimal for mechanical (≤36 kWh/m²yr). Age effect on DMV: older students (higher CO2 gen) → 6% more heating, 15% more cooling. Discharge coefficient Cd=0.60. Outdoor CO2=400 ppm. RITE heating setpoint 21°C (Oct–Apr); cooling 25°C (May–Sep).</t>
  </si>
  <si>
    <t>doc_30</t>
  </si>
  <si>
    <t>10.3390/atmos15050586</t>
  </si>
  <si>
    <t>Wu Y, Li X, Zhao S, Wang Q, Wang S, Yu L &amp; Wang F</t>
  </si>
  <si>
    <t>Evaluation of Air Quality and Thermal Comfort in University Dormitories in China</t>
  </si>
  <si>
    <t>Atmosphere</t>
  </si>
  <si>
    <t>CONTAM 3.4.0.1 (multizone airflow network)</t>
  </si>
  <si>
    <t>6 pers / 24 m² (8×3 m; 0.25 p/m²)</t>
  </si>
  <si>
    <t>GB/T 18883-2022 (China indoor air quality standard, 1000 ppm CO2 limit)</t>
  </si>
  <si>
    <t>Temperature (indoor/outdoor ΔT); wind speed (outdoor)</t>
  </si>
  <si>
    <t>Not applicable (field study + CONTAM parametric)</t>
  </si>
  <si>
    <t>TSI7545 (CO2: 0–5000 ppm, ±3%+50 ppm; temperature ±0.6°C); TSI9535 (wind speed ±3%; temperature ±0.3°C)</t>
  </si>
  <si>
    <t>Field study: 24 dormitory rooms (12-floor building, Beijing; 2005), transition season + winter 2 weeks each. Questionnaire n=210 (ISO 10551). Key findings: 20/24 rooms exceeded 1000 ppm CO2 in transition season; 20/24 in winter (max 9050 ppm). Students opening windows frequently perceive air as fresher. &gt;80% feel cold when opening windows. Ventilation interval (closed door+window from 600 ppm): 1 pers=70 min, 6 pers=10 min. CONTAM 72 daytime scenarios: cross-ventilation (door+window open, ≥10 cm width) → CO2&lt;1000 ppm even at 6 people with ≥15 cm. Single-sided ventilation: ≥30 cm required. Nighttime empirical formula: C=233.789N − 13075.895S + 4582.288 (R²=0.87; low wind 0–0.25 m/s); recommended window area 0.349–0.457 m² (×1.2 safety factor). Experimental validation: 18 scenarios in 3 rooms, CO2≈1000 ppm with prescribed areas; TSV avg −0.5 to +0.5 (comfort). CO2 production rate: 763 mg/min per adult male sitting. Outdoor CO2: 400 ppm. Window: 1.0×1.3 m sliding. Door: 0.8×2.0 m.</t>
  </si>
  <si>
    <t>doc_31</t>
  </si>
  <si>
    <t>10.3389/fbuil.2025.1606399</t>
  </si>
  <si>
    <t>Rabani M, Sønderland S &amp; Rabani M</t>
  </si>
  <si>
    <t>Exploring hybrid ventilation in cold climates: energy efficiency, thermal comfort, and future climate adaptation in a nZEB case study in Norway</t>
  </si>
  <si>
    <t>Frontiers in Built Environment</t>
  </si>
  <si>
    <t>Cold</t>
  </si>
  <si>
    <t>NOR</t>
  </si>
  <si>
    <t>IDA-ICE 5.0 (dynamic building simulation) + SketchUp (BIM import via Naviate Simple BIM)</t>
  </si>
  <si>
    <t>Not specified; building open daily 10:00–20:00; 2 zones: Amphitheater + Exhibition</t>
  </si>
  <si>
    <t>NS-EN 16798-1 (Norwegian adaptation of EN 16798); TEK 17 (Norwegian Building Code)</t>
  </si>
  <si>
    <t>Operative temperature (Top); PPD (%); window opening degree (%)</t>
  </si>
  <si>
    <t>Annual (historic + future climate: RCP 2.6, 4.5, 8.5 for 2050 and 2100)</t>
  </si>
  <si>
    <t>CO2 sensor (real, at 1.6 m height); indoor air temperature sensor; outdoor temperature sensor; window opening actuator with degree control</t>
  </si>
  <si>
    <t>Climate House at Tøyen, Oslo — nZEB exhibition/educational building. Current HV: NV-primary + MV-supplementary (underperforms in winter). Proposed HV: MV-primary + NV-supplementary (windows auto-open based on ACH, T_in, CO2, T_out). CO2 threshold 950 ppm (day); night ventilation when T_in&gt;21°C and T_out&gt;12°C. Main results vs full MV: 13% total energy saving (fan −70%, cooling −51%, heating −7.6%). Future climate (RCP 8.5, 2100): up to 31% total energy saving. Thermal comfort: max operative T=28°C (Amphitheater); hours &gt;26°C = 41 h (HV) vs fewer with MV. CO2 to 400 ppm during night ventilation. Window open 26–39% of occupied time by 2100 (RCP 2.6–8.5). Limitation: shared energy meter with adjacent museum prevents direct energy validation. Validation via indoor T and CO2 concentration only.</t>
  </si>
  <si>
    <t>doc_32</t>
  </si>
  <si>
    <t>10.3390/en10020231</t>
  </si>
  <si>
    <t>Li K, Xue W &amp; Liu G</t>
  </si>
  <si>
    <t>Exploring the Environment/Energy Pareto Optimal Front of an Office Room Using Computational Fluid Dynamics-Based Interactive Optimization Method</t>
  </si>
  <si>
    <t>Airpak (Fluent engine); NSGA-II via MATLAB (C++ data-interactive module)</t>
  </si>
  <si>
    <t>2 pers / 5.16×3.65×2.43 m = 45.8 m² (0.044 p/m²)</t>
  </si>
  <si>
    <t>ISO 7730; ASHRAE 55-2004</t>
  </si>
  <si>
    <t>CO2 concentration (ventilation effectiveness εv)</t>
  </si>
  <si>
    <t>Steady-state CFD scenarios (not annual)</t>
  </si>
  <si>
    <t>CO2 sensor (simulated); air temperature; air velocity (virtual points P1–P5)</t>
  </si>
  <si>
    <t>CFD-coupled optimization via C++ data interactive module linking Airpak with MATLAB. Three objectives: PPDmax (%), IAQavg=1/εv_avg, Efan+cooling (W). TDVS (thermal displacement ventilation). Control variables: inlet T (290–298 K), inlet velocity (0.05–1.5 m/s). NSGA-II: 25 gen × 25 pop = 648 chromosomes total. 72 h computation (Intel Core E3, 3.2 GHz, 8 GB). Pareto: 23 solutions with Efan+cooling&lt;500 W; PPDmax&lt;10% (12/23), IAQavg&lt;10 simultaneously. Best: PPDmax=5.08%, IAQavg=2.4, Efan+cooling=140 W at v=0.07 m/s, T=296.68 K. εv=(Creturn−Csupply)/(Cbr−Csupply). 172,282 nodes. Validated vs Yuan et al. 1999. RNG κ-ε; Boussinesq. Fan power Efan=ΔP·V_air/(1000·ηfan); ΔP=562.5 Pa, η=0.75. Ecooling=Espace+Event.</t>
  </si>
  <si>
    <t>doc_33</t>
  </si>
  <si>
    <t>10.1038/s41598-025-01362-y</t>
  </si>
  <si>
    <t>Ragab A, Hassieb MM &amp; Mohamed AF</t>
  </si>
  <si>
    <t>Exploring the impact of window design and ventilation strategies on air quality and thermal comfort in arid educational buildings</t>
  </si>
  <si>
    <t>Scientific Reports</t>
  </si>
  <si>
    <t>Arid</t>
  </si>
  <si>
    <t>EGY</t>
  </si>
  <si>
    <t>DesignBuilder (EnergyPlus engine); CFD (integrated DesignBuilder)</t>
  </si>
  <si>
    <t>Not specified (university classroom, Aswan)</t>
  </si>
  <si>
    <t>ASHRAE 55; not explicitly referenced for CO2 limit</t>
  </si>
  <si>
    <t>Relative humidity (%); air velocity (m/s)</t>
  </si>
  <si>
    <t>Not applicable (field + parametric simulation scenarios, Aswan transition season)</t>
  </si>
  <si>
    <t>HOBO MX CO2 data logger (CO2, temperature, relative humidity)</t>
  </si>
  <si>
    <t>Case study: university classroom, Aswan, Egypt (hot arid climate, ~24°N). 4 ventilation scenarios: (1) single-sided NV during AC operation; (2) solely passive NV; (3) 20-min cross-ventilation between lectures; (4) 60-min cross-ventilation during lecture breaks. Window parameters (size, position, orientation) varied in DesignBuilder simulations. Field measurements with HOBO MX CO2 logger validated model. Scenario 4 (extended cross-ventilation at breaks) achieved best IAQ with acceptable PMV. Scenario 1 (single-sided during AC) had worst IAQ. Key finding: window orientation and cross-ventilation timing are decisive for balancing IAQ and thermal comfort in arid climates. Outdoor temperatures impose constraints on ventilation duration. Study focuses on architectural design guidance (window design + ventilation scheduling).</t>
  </si>
  <si>
    <t>doc_34</t>
  </si>
  <si>
    <t>10.1177/18479790241307464</t>
  </si>
  <si>
    <t>Vittori F, Fronzetti Colladon A, Chiatti C, Pigliautile I &amp; Pisello AL</t>
  </si>
  <si>
    <t>Exploring the key factors affecting indoor thermal comfort through virtual reality: Enhancing labor productivity and achieving energy efficiency</t>
  </si>
  <si>
    <t>International Journal of Engineering Business Management</t>
  </si>
  <si>
    <t>ITA</t>
  </si>
  <si>
    <t>Lab experiment</t>
  </si>
  <si>
    <t>Autodesk Revit 2019 (BIM) + VR headset (Autodesk Cloud Service stereo-panorama)</t>
  </si>
  <si>
    <t>102 subjects (office room at CIRIAF, University of Perugia)</t>
  </si>
  <si>
    <t>Lighting CCT; window glass coating (RGB)</t>
  </si>
  <si>
    <t>Not applicable (lab experiment, 18 min per session)</t>
  </si>
  <si>
    <t>VR headset; real room thermal sensors (26±1°C); no IAQ sensors</t>
  </si>
  <si>
    <t>BIM+VR methodology. 12 VR scenes: S1–S4 (window shape, same area 2.64 m²: 2.40×1.10→1.20×2.20 m); S5–S8 (blue glass coating, RGB 255/255/255→51/106/162); S9–S12 (CCT: 5000/4000/2800/1800 K). N=102, 2 excluded, n=100. Each scene: 1.5 min, 5-point TSV (−2 to +2) + productivity (1–5). Real room: 26±1°C constant. ANOVA+Tukey HSD+multilevel HLM regression (Hierarchical Linear Model). Key: natural light (5780K) strongest productivity predictor (β=0.77, p&lt;.001); door-window (S4) significant (β=0.455, p&lt;.001); coating reduces thermal sensation (−0.475/−0.715/−0.655, all p&lt;.001); higher CCT→lower perceived temp. ICC thermal=14%; productivity=25%. Residual variance reduction: thermal 15.64%; productivity 19.60%. t-test: optimal comfort→higher productivity (Δ=0.249, p=.000). Not a ventilation study—focuses on non-thermal design factors on TC perception via VR.</t>
  </si>
  <si>
    <t>doc_35</t>
  </si>
  <si>
    <t>10.1016/j.enbuild.2016.06.054</t>
  </si>
  <si>
    <t>Salcido JC, Abdul Raheem A &amp; Issa RRA</t>
  </si>
  <si>
    <t>From simulation to monitoring: Evaluating the potential of mixed-mode ventilation (MMV) systems for integrating natural ventilation in office buildings through a comprehensive literature review</t>
  </si>
  <si>
    <t>EnergyPlus (reviewed studies); also TRNSYS, DesignBuilder, CONTAM</t>
  </si>
  <si>
    <t>Not specified (review of multiple studies)</t>
  </si>
  <si>
    <t>ASHRAE 55-2004</t>
  </si>
  <si>
    <t>Temperature; humidity</t>
  </si>
  <si>
    <t>Annual (reviews of annual studies, 1996–2016)</t>
  </si>
  <si>
    <t>CO2, temperature, humidity, wind speed (from reviewed studies)</t>
  </si>
  <si>
    <t>Literature review 1996–2016, &gt;90 studies, 45 in-depth. Three MMV types: concurrent, change-over, zoned. Key energy savings: 40% HVAC via window schedule MPC (May-Ostendorp); up to 75% alternating NV/MV; radiant slab+NV up to 67% vs VAV (Ezzeldin); changeover VAV 60%+ arid; cross-vent+atria louvers 57% (Wisconsin Inst.); radiant overnight+Mediterranean: 64%. Manual windows: occupants with access→closer to comfort; social dynamics main factor (Borgeson &amp; Brager). MPC signals: minor behavioral effect. Three cooling systems: radiant slab, FCU/HP, CAV/VAV. Future gaps: occupant behavior models, commercial MPC tools, site-specific wind data, field monitoring standards for MMV.</t>
  </si>
  <si>
    <t>doc_36</t>
  </si>
  <si>
    <t>10.1016/j.solener.2025.113442</t>
  </si>
  <si>
    <t>Mandal DK, Bose S, Biswas N, Manna NK, Santra S, Cuce E &amp; Alshahrani S</t>
  </si>
  <si>
    <t>Hybrid solar Chimneys: Enhancing thermal comfort and Alleviating indoor air pollutants — A comprehensive review</t>
  </si>
  <si>
    <t>Solar Energy</t>
  </si>
  <si>
    <t>ANSYS Fluent; COMSOL; MATLAB; TRNSYS (various reviewed studies)</t>
  </si>
  <si>
    <t>Not specified (review)</t>
  </si>
  <si>
    <t>WHO AQG 2021; WHO IAQ guidelines 2010; ASHRAE</t>
  </si>
  <si>
    <t>VOC; PM2.5; NO2; CO; formaldehyde</t>
  </si>
  <si>
    <t>Annual (various reviewed studies)</t>
  </si>
  <si>
    <t>Temperature sensors (K-type thermocouples); airflow sensors; solar radiation meters; humidity sensors (reviewed studies)</t>
  </si>
  <si>
    <t>Comprehensive review of hybrid SC systems. SC types: wall (Trombe), roof, combined. Hybrid systems: EAHE, PCM, evaporative cooling (EC), PV cells, photocatalytic reactors. Key equations: Qvent=Vout×Aout; ACH=Qvent×3600/V; ηth=ρa·Qvent·Cpa·(Tout−Tin)/(L·W·I). EAHE: indoor 21–24°C vs outdoor 34°C; cooling 2582 W vs load 2813 W (Nebraska). PCM+fins: 40% airflow enhancement, 20.2% temp rise vs PCM-only. Evaporative: 9–14°C indoor ΔT (SC-WSS, Rabani). PV+SC: BIPVBTW 45%+ electricity savings vs BIPVGTW. PCO-TW (TiO2): 100 mg/m² formaldehyde/day degraded; 164 m³/m² clean air/day (Yu 2018). PTC-Trombe+PV: 28.2% more clean air vs TC-PV-Trombe. Proposed novel: SC-PV-PCM-EAHE-EC+photocatalyst. 3.8 M deaths/yr from IAQ (WHO 2022). 10–15% productivity drop from poor IAQ. Insulated Trombe walls: 47% seasonal cooling+heating energy reduction. Optimal SC air gap: 0.2–0.3 m; inclination ~45°.</t>
  </si>
  <si>
    <t>doc_37</t>
  </si>
  <si>
    <t>10.3390/atmos11010110</t>
  </si>
  <si>
    <t>Vadamalraj N, Zingre K, Seshadhri S, Arjunan P &amp; Srinivasan S</t>
  </si>
  <si>
    <t>Hybrid Ventilation System and Soft-Sensors for Maintaining Indoor Air Quality and Thermal Comfort in Buildings</t>
  </si>
  <si>
    <t>Python (GLPK linear programming); Raspberry Pi IoT; Keras CNN (soft-sensor)</t>
  </si>
  <si>
    <t>5–6 pers / C-RACE lab (Kalasalingam University, Srivilliputhur, India)</t>
  </si>
  <si>
    <t>ASHRAE IAQ guidelines</t>
  </si>
  <si>
    <t>TVOC (ppb); PM2.5; humidity; temperature</t>
  </si>
  <si>
    <t>12 h operational period (working day); 10-day IAQ dataset (15 min sampling)</t>
  </si>
  <si>
    <t>DHT11 (T+RH); CO2 sensor; PIR motion sensor; PM2.5 sensor; RENSON Healthbox 3.0 DCV (TVOC, CO2, RH, T); RPi gateway</t>
  </si>
  <si>
    <t>Novel hybrid ventilation: MPC energy optimizer (AC/fan toggling duty cycle uAC=tON/Tp, Tp=15 min) + DCV IAQ optimizer (RENSON Healthbox 3.0 controlling TVOC, CO2, RH, T). Coupling variable: fresh air induction rate. Multi-objective J=min Σ(JIAQ+JPower); decoupled via DCV. Zone model: T(k+1)=aT(k)−buAC(k)+cw(k)+v(k); linear MPC via GLPK on RPi. Soft-sensors: CNN (1D conv, ReLU, max-pool, dense; input: 24 past readings=6h; 80/20 split). CO2 MAPE=4.1%, MAE=19.1 ppm; RH MAPE=1.9%; Temp MAPE=0.6%; TVOC MAPE=13.5% (high due to no seasonality). CO2 max=850 ppm (5–6 occupants). TVOC &lt;1000 ppb operating; &gt;1400 ppb when OFF. RH &lt;60%. Energy saving: 19.2–21.4% vs thermostat (12h day). TC: T=20–25°C maintained. IoT: MQTT; SQL; web app. JIAQ=f(PM, CO2, TVOC, H, T). Cooling load Q(k) estimated via RBFNN. Correlation matrix confirms no strong IAQ parameter correlation→univariate CNN justified. Indian building sector: ~37% national energy; space cooling 40–45% of building energy.</t>
  </si>
  <si>
    <t>doc_38</t>
  </si>
  <si>
    <t>10.1016/j.buildenv.2021.108662</t>
  </si>
  <si>
    <t>Bamdad K, Matour S, Izadyar N &amp; Omrani S</t>
  </si>
  <si>
    <t>Impact of climate change on energy saving potentials of natural ventilation and ceiling fans in mixed-mode buildings</t>
  </si>
  <si>
    <t>AUS</t>
  </si>
  <si>
    <t>EnergyPlus + EMS (Erl) + Morphing method (HadCM3)</t>
  </si>
  <si>
    <t>0.1 pers/m² (NABERS schedule)</t>
  </si>
  <si>
    <t>Annual (present + 2080 B2 and A1FI scenarios)</t>
  </si>
  <si>
    <t>No sensors — simulation only (TMY + morphed weather files)</t>
  </si>
  <si>
    <t>Three ventilation scenarios: AC (base), MM (NV changeover), MM+CF (ceiling fans extend ASHRAE 55 upper limit +2.2°C when T_out&gt;25°C and indoor airspeed 1.2 m/s). Six Australian cities: Darwin (CZ1, Aw), Brisbane (CZ2, Cfa), Perth (CZ5, Csa), Sydney (CZ5&amp;6, Cfa), Melbourne (CZ6, Cfb), Hobart (CZ7, Cfb). Reference building: ABCB office 2003.85 m², 3 floors, WWR=50%, U-win=2.7 W/m²K. Morphing method (HadCM3) + SRES A1FI and B2 for 2080. Key results: MM cooling savings (present): Brisbane 47.3%, Sydney 36%, Perth 33%, Darwin 22.7%. MM+CF additional savings: Darwin +23.1%, Brisbane +5%. Climate change reduces NV potential in Darwin (23%→10%) and Brisbane (47%→33%). Hobart: NV slightly improves in future. Sydney/Perth/Melbourne: nearly constant. Cooling energy demand increases 24–56% by 2080. ASHRAE 55 adaptive: T_comf = (T_pma × 0.31 + 17.8) ± 3.5°C (80% acceptability). CF: +2.2°C extension. T_pma: monthly mean outdoor air temperature. EMS rule-based controller implemented in EnergyPlus Erl.</t>
  </si>
  <si>
    <t>doc_39</t>
  </si>
  <si>
    <t>10.3390/en13205332</t>
  </si>
  <si>
    <t>Grygierek K &amp; Sarna I</t>
  </si>
  <si>
    <t>Impact of Passive Cooling on Thermal Comfort in a Single-Family Building for Current and Future Climate Conditions</t>
  </si>
  <si>
    <t>EnergyPlus 9.3 + OpenStudio + MATLAB (NSGA-II) + Python 3.7 (TSK fuzzy controllers via FMI)</t>
  </si>
  <si>
    <t>4 pers / 92 m² semi-detached house (2+2 family)</t>
  </si>
  <si>
    <t>Annual (TMY Katowice + future 2050 A2 scenario; CCWorldWeatherGen; 15-min timestep)</t>
  </si>
  <si>
    <t>Apar235 recorders (temperature ±0.5°C, 15-min; model validation only); simulation only for optimization</t>
  </si>
  <si>
    <t>Two building insulation levels: Bstd (Uwall=0.23 W/m²K, 2017 standard) vs Bpass (0.15 W/m²K, passive standard). Two climates: Kat (standard TMY) and KatA2 (future 2050 A2 scenario, CCWorldWeatherGen). Six passive cooling methods: F (variable fans), Fconst (constant fans), WAall (auto windows all-day), WA/WA20 (auto windows with occupancy), WO10/WO20 (manual by occupants). TSK zero-order fuzzy controllers optimised via NSGA-II (MATLAB): 2 objectives Hdis (thermal discomfort hours, adaptive EN15251 Cat.II) + Qheat. Max ACH=3 h⁻¹ for fans. Model validation: NMBE≤2%, CVRMSE≤3%, Pearson R&gt;0.88 (living room). Key results: best method F (fans with variable airflow): Hdis→0h (Bstd-Kat), Qheat increase 3.5–19.9%; passive standard future climate: Hdis up to 6143.7h without cooling. Thermal discomfort doubles in warmed climate vs current for window-opening methods. Passive cooling by window opening in future climate causes &gt;42% heating demand increase (Bpass-KatA2).</t>
  </si>
  <si>
    <t>doc_40</t>
  </si>
  <si>
    <t>10.1016/j.scitotenv.2025.179543</t>
  </si>
  <si>
    <t>Rawat N, Kumar P, Hama S, Williams N &amp; Zivelonghi A</t>
  </si>
  <si>
    <t>Improving classroom air quality and ventilation with IoT-driven acoustic and visual CO2 feedback system</t>
  </si>
  <si>
    <t>Science of the Total Environment</t>
  </si>
  <si>
    <t>None (field measurement only; statistical analysis in R)</t>
  </si>
  <si>
    <t>24–30 students + 2 teachers / ~54 m² (approx. 0.56 p/m²)</t>
  </si>
  <si>
    <t>SAGE guidelines (800/1500 ppm); BB101 2019 (&lt;1500 ppm daily avg); UK DfE</t>
  </si>
  <si>
    <t>PM10; PM2.5; PM1; PM0.1 (PNC); LDSA (μm²/cm³); particle diameter (nm)</t>
  </si>
  <si>
    <t>Not applicable (field study: Base Dec 2023, S1 Jan 2024, S2 Jan 2024; 5 days each)</t>
  </si>
  <si>
    <t>SAVE unit (LoRaWAN IoT, ELSYS CO2 NDIR ±50 ppm 0-2000 ppm, T ±0.5°C, RH ±3%); QTrak 7575 TSI (CO2 0-5000 ppm ±3%/±50 ppm); GRIMM EDM 107 (PM 0.25-32 μm); Testo Discmini (nanoparticles 10-700 nm; LDSA)</t>
  </si>
  <si>
    <t>Three scenarios in UK primary school, Guildford (near heavy-traffic roads): Base (no alarm), S1 (visual CO2 alarm: smiley face green/amber/red at 800/1000/1500 ppm), S2 (visual+acoustic: same thresholds + bird sound 2 s/5 s). IoT-based SAVE unit (AulaSicura concept). Main results: S1 reduces mean CO2 by 19.5% (1881→1513 ppm); S2 by 19% (→1524 ppm) vs baseline. 'Very High' CO2 events (&gt;1500 ppm): −42% S1, −31% S2. PM10/PM2.5/PNC increase due to window opening: PM2.5 +48% S1, +215% S2; LDSA +65% S1, +147% S2. All PM fractions remain within WHO daily limits. Temperature drove teacher's window-opening decision more than CO2 alarm. Outdoor temperature 2°C lower in S1, 4.5°C lower in S2 vs baseline → windows kept closed during teaching hours → CO2 improvement mainly during lunch breaks. Acoustic alarm not preferred (distraction). Energy: +40% higher heater use during monitoring vs previous month. Qualitative interviews by UKHSA (2 teachers). Novelty: first study to quantify IoT visual-acoustic CO2 display effect on CAQ + PM fractions + PNC/LDSA. Correlation coefficient SAVE unit vs QTrak: R=0.98.</t>
  </si>
  <si>
    <t>doc_41</t>
  </si>
  <si>
    <t>10.1016/j.jobe.2022.105324</t>
  </si>
  <si>
    <t>Tikul N, Hokpunna A &amp; Chawana P</t>
  </si>
  <si>
    <t>Improving indoor air quality in primary school buildings through optimized apertures and classroom furniture layouts</t>
  </si>
  <si>
    <t>Journal of Building Engineering</t>
  </si>
  <si>
    <t>THA</t>
  </si>
  <si>
    <t>ANSYS Fluent V2021 R2 (standard k-ε RANS + DPM discrete phase model; Euler-Lagrange)</t>
  </si>
  <si>
    <t>22 student desks / 54 m² (6×9 m); no explicit p/m² during PM2.5 crisis scenario</t>
  </si>
  <si>
    <t>PM2.5</t>
  </si>
  <si>
    <t>Ministerial Regulation No. 39 B.E.2537 Thailand (10% room area = openings); WHO AQG (PM2.5)</t>
  </si>
  <si>
    <t>Air velocity (m/s); I/O PM2.5 ratio</t>
  </si>
  <si>
    <t>Not applicable (steady-state CFD scenarios, crisis period Jan–May)</t>
  </si>
  <si>
    <t>Dust Sensor WiFi Pro NanoGen (PM2.5, real-time cloud); Lutron AM-4257SD cup anemometer (air velocity); onsite measurements at P1, P2, Pw (1.5 m height)</t>
  </si>
  <si>
    <t>School building NO. 105, Chiang Mai, Thailand (18°N, hot tropical climate; PM2.5 crisis Jan–May, peak March 226 μg/m³). Classroom 6×9×3.5 m, 54 m². Boundary conditions: inlet air velocity 1.33 m/s (NE prevailing wind 66°N), inlet PM2.5=168 μg/m³ (avg maximum monthly), mass flow rate 0.1 mg/s. Two study factors: (1) Furniture layout — Normal, Meeting-Room, Full, U-shaped (22 student desks); (2) O/A ratio (opened/total aperture area) — 0.25, 0.5, 0.75, 1.0 (total A=22.4 m²). CFD meshing: tetrahedral 2.0–2.5×10⁶ cells; Δy=73y+ (wall resolution). Validation: R²=0.917 (velocity), R²=0.885 (PM2.5); paired t-test p&gt;0.05 (no significant diff). Key results furniture: U-shaped layout → lowest PM2.5 in breathing zone (0–1.6 m); air velocity and PM2.5 correlated positively. Key results O/A: O/A=1 → highest velocity and PM2.5; O/A=0.25 → lowest PM2.5 in breathing zone. Combined optimum: O/A=0.25 + U-shaped layout → significant PM2.5 reduction. Onsite validation (O/A=0.25): I/O air velocity ratio before=0.73, after=0.41; PM2.5 reduction confirmed. Lower O/A reduces air velocity but improves IAQ during PM2.5 pollution season. Students should avoid areas near inlet/outlet walls and below 0.5 m height.</t>
  </si>
  <si>
    <t>doc_42</t>
  </si>
  <si>
    <t>10.3390/buildings8060075</t>
  </si>
  <si>
    <t>Bayoumi M</t>
  </si>
  <si>
    <t>Improving Natural Ventilation Conditions on Semi-Outdoor and Indoor Levels in Warm-Humid Climates</t>
  </si>
  <si>
    <t>SAU</t>
  </si>
  <si>
    <t>ANSYS-CFX 15.0 (RANS RNG k-ε; power-law ABL α=0.28) + IDA-Indoor Climate and Energy (IDA-ICE 4.7) for dynamic building simulation</t>
  </si>
  <si>
    <t>12 occupants / 60.84 m² classroom (~0.20 p/m²); 1.2 MET, 0.85 CLO</t>
  </si>
  <si>
    <t>ASHRAE 62.1 (1000 ppm CO2 threshold for fresh air supply activation); IDA-ICE default</t>
  </si>
  <si>
    <t>Age of air (h); air velocity (m/s)</t>
  </si>
  <si>
    <t>Annual (all seasons; IDA-ICE results averaged per season)</t>
  </si>
  <si>
    <t>No sensors (simulation only); weather data from climate files; no field monitoring</t>
  </si>
  <si>
    <t>Faculty building King Abdulaziz University, Jeddah, Saudi Arabia (subtropical hot-humid; Tout up to 45°C summer; NV window potential 44–97% hours/month outside summer). Two-part study: (1) CFD form optimization — 4 models (A-H configurations) for ground floor, corridor, and roof ventilation, RNG k-ε, power-law ABL α=0.28, 3 grids (1.04–2.28×10⁶ cells, Grid-B=1.68×10⁶ selected after independence test). Peak corridor velocity: 2.1 m/s (ground), 1.1 m/s (urban canyon). (2) IDA-ICE dynamic simulation — classroom 7.8×7.8×2.95 m (60.84 m²), south facade, WWR=50% (east wall 16.38 m²), Cd=0.65. Three cases: Case 1 (T-controlled VAV), Case 2 (CO2-controlled VAV + radiant chilled ceiling, CO2 threshold 1000 ppm, supply T=16°C), Case 3 (Case 2 + automatic window opening when Tout&lt;25°C). Case 3 vs Case 1: annual cooling −60%; Case 3 CO2&lt;700 ppm all year; air age substantially lower. EN-15251 comfort analysis: 680 h/yr Cat.I (Best), 1401 h/yr Cat.II, 2280 h/yr Cat.III, 69 h/yr unacceptable. Grid independence: Grid-A vs Grid-B large diff; Grid-B vs Grid-C negligible diff → Grid-B chosen. Note: building typology classified as School (university faculty) despite mixed character.</t>
  </si>
  <si>
    <t>doc_43</t>
  </si>
  <si>
    <t>10.1016/j.enbuild.2017.01.017</t>
  </si>
  <si>
    <t>Stazi F, Naspi F, Ulpiani G &amp; Di Perna C</t>
  </si>
  <si>
    <t>Indoor air quality and thermal comfort optimization in classrooms developing an automatic system for windows opening and closing</t>
  </si>
  <si>
    <t>None (field measurement + Humphreys adaptive algorithm implemented in LabVIEW 2014)</t>
  </si>
  <si>
    <t>16–17 students / 52.85–54.65 m² (~0.31 p/m²)</t>
  </si>
  <si>
    <t>Building Bulletin (1500 ppm); ASHRAE (1000 ppm); average set at 1250 ppm</t>
  </si>
  <si>
    <t>Not applicable (57 monitoring days: Jan 2013 + Mar–Apr 2015)</t>
  </si>
  <si>
    <t>CO2 sensor (20–70 ppm accuracy); PT100 thermoresistors (±0.15°C); globe thermometer; hot-sphere anemometer (±0.01 m/s); Datataker DT500; Babuc/A datalogger</t>
  </si>
  <si>
    <t>Two adjacent secondary school classrooms (Ancona, Italy; 43°N; Köppen Csa hot-summer Mediterranean; 1688 HDD). MT (motorized, 52.85 m²) vs FR (free-running, 54.65 m²), both N-W exposure, 17 and 16 students respectively. Humphreys adaptive algorithm modified: (1) CO2 input added with 1250 ppm trigger for window opening (avg of 1500 ppm Building Bulletin + 1000 ppm ASHRAE); (2) dead band reduced from ±2°C to ±1°C around T_comf. T_comf = 0.33·T_rm + 18.8 (CEN EN 15251, T_rm&gt;10°C). Algorithm run at 1-min timestep via LabVIEW 2014 controlling pneumatic actuators on hopper windows. Key results: MT vs FR — CO2&gt;1500 ppm: 8.7% vs 30.7% occupied time; adaptive discomfort (±2°C): 8.6% vs 46.9%; PPDwC 53.4% lower in MT. Subjective: neutral sensation 77.5% (MT) vs 66.4% (FR). Linear regression (FR): R²(window open vs T_outdoor)=0.789; R²(vs CO2)=0.329 → temperature is primary trigger, CO2 is secondary. Preventive pre-class ventilation (7:30–8:00) had no measurable CO2 benefit. Wind direction (NW vs E) significantly affects CO2 removal effectiveness.</t>
  </si>
  <si>
    <t>doc_44</t>
  </si>
  <si>
    <t>10.3390/en12244607</t>
  </si>
  <si>
    <t>Calama-González CM, León-Rodríguez ÁL &amp; Suárez R</t>
  </si>
  <si>
    <t>Indoor Air Quality Assessment: Comparison of Ventilation Scenarios for Retrofitting Classrooms in a Hot Climate</t>
  </si>
  <si>
    <t>DesignBuilder v4.7.0.027 / EnergyPlus + MATLAB R2017a (statistical analysis)</t>
  </si>
  <si>
    <t>0.45 p/m² (21 occupants / 47.59 m², max 35+1 teacher)</t>
  </si>
  <si>
    <t>RITE (Spain, IDA2: 500 ppm above outdoor); ASHRAE (700 ppm above outdoor); CR 1752 (Category A: 460 ppm above outdoor)</t>
  </si>
  <si>
    <t>Annual (academic year, 3 seasonal periods: winter Dec–Feb, summer May–Jun, mid-season Mar–Apr)</t>
  </si>
  <si>
    <t>CO2 detector (0–2000 ppm, ±40+4.8%); presence detectors; window/blind sensors; pyranometer (±2.0%); lux meter (±4.0%); weather station (T, RH, CO2, wind)</t>
  </si>
  <si>
    <t>Martíñez Montañés Secondary School, Seville (37.37°N, −5.97°W; Köppen Csa). South-facing classroom, 2nd floor, 47.59 m² (6.95×6.85 m), 4 windows (2.40×1.40 m, WWR=53%), U-win=5.70 W/m²K, V50=578 m³/h (Blower Door). Monitoring: May 2017–April 2018, 10-min intervals, FTP upload every 30 min. Three ventilation scenarios simulated via EnergyPlus: (1) CVp — constant rate by occupants: 6.5 ACH (9:00–15:00) + 4.7 ACH (16:00–20:00); (2) CV — CO2-based constant: 6.1 ACH + 4.6 ACH; (3) VV — CO2-based variable (DCV): 3.3–6.1 ACH, computed from Eq. Q=G/(ΔCO2·E) with G=19 l/s·person, ΔCO2=500 ppm, E=0.9. Thermal comfort bands (ISO 7730): winter/mid-season 16.1–24.1°C; summer 22.8–26.8°C. Comfort hours: CVp 89.3% winter, 3.3% summer, 21.9% mid-season; CV 89.9%/3.5%/22.8%; VV 80.5%/1.9%/16.7%; non-ventilated 69.4%/1.2%/10.0%. Electricity (fans): CVp 225.6 kWh/yr; CV 217.0 kWh/yr (−3.8%); VV 141.9 kWh/yr (−34.6% vs CV; −37% vs CVp). Main conclusion: manual ventilation (NV) cannot guarantee IAQ; DCV saves 35% energy vs constant CO2-based ventilation but provides 15% fewer comfort hours.</t>
  </si>
  <si>
    <t>doc_45</t>
  </si>
  <si>
    <t>10.1038/s41598-025-98602-y</t>
  </si>
  <si>
    <t>Afifi S, Kamel T &amp; Ezzeldin S</t>
  </si>
  <si>
    <t>Indoor environmental quality assessment of naturally-ventilated school classrooms within a dense arid urban setting of Cairo, Egypt</t>
  </si>
  <si>
    <t>None (questionnaire-based field study; IBM SPSS Statistics 22)</t>
  </si>
  <si>
    <t>0.54–1.39 p/m² (18–62 students in 24.94–36.96 m² classrooms)</t>
  </si>
  <si>
    <t>ASHRAE (min 80% occupant comfort; no extreme CO2)</t>
  </si>
  <si>
    <t>Dust; odor; outdoor air pollution sources</t>
  </si>
  <si>
    <t>Not applicable (one-day questionnaire, November 2023)</t>
  </si>
  <si>
    <t>No objective sensors — subjective questionnaires only (5-point Likert scale); clo values estimated from clothing photos</t>
  </si>
  <si>
    <t>IEQ assessment in 5 naturally ventilated elementary school classrooms (4th–3rd floor), Nasr City, Cairo (hot arid climate). School types: 2 private, 2 experimental, 1 governmental. Sample: N=123 fifth-grade students (47% boys, 53% girls), November 2023. Questionnaire: 6 sections (student info, seating, visual, acoustic, IAQ, thermal comfort); 5-point Likert scale; analyzed in SPSS. Clo values: Nov morning 0.91 (cold), Nov afternoon 0.55 (jacket off), Jan 0.55, Apr 0.49 (warm). Key IAQ findings: mean fresh air satisfaction 3.28/5; classroom smell MSS 2.33/5 (below neutral); 62% notice dust sometimes; 57% report no air pollution (private), 52% report outdoor sources (governmental). Key thermal findings: most students feel neutral in Oct/Apr; cold in January; warm in Oct afternoons. Seating satisfaction 4.35/5; proximity to windows 4.09/5. Visual: board lighting satisfaction 73–91% (by classroom); desk lighting 46–62%. Acoustic: 60% disturbed by street/playground/corridor noise; teacher hearing satisfaction 4.34/5. Correlations: gender vs fresh air satisfaction (p=0.001); window proximity vs fresh air (p=0.001) and airflow (p=0.000); window state vs smell (p=0.000–0.008). Group differences: private&gt;experimental&gt;governmental for IAQ, acoustic, visual comfort. Limitations: small sample, no objective measurements (Ministry restrictions), single grade, one-day data collection.</t>
  </si>
  <si>
    <t>doc_46</t>
  </si>
  <si>
    <t>10.3390/su16219160</t>
  </si>
  <si>
    <t>Felgueiras F, Mourão Z, Moreira A &amp; Gabriel MF</t>
  </si>
  <si>
    <t>Indoor Environmental Quality in Portuguese Office Buildings: Influencing Factors and Impact of an Intervention Study</t>
  </si>
  <si>
    <t>PRT</t>
  </si>
  <si>
    <t>None (field measurement; IBM SPSS Statistics v27)</t>
  </si>
  <si>
    <t>0.12–0.15 p/m² (11–13 workers in 35–150 m² open spaces)</t>
  </si>
  <si>
    <t>Portuguese national limits (Portaria 138-G/2021: CO2 1250 ppm, PM2.5 25 µg/m³, VOC 600 µg/m³); WHO AQG 2021; OSHA (thermal)</t>
  </si>
  <si>
    <t>PM2.5; PM10; UFPs; VOCs; O3; CO</t>
  </si>
  <si>
    <t>Not applicable (14-day RCT per office; Feb 2022–Mar 2024)</t>
  </si>
  <si>
    <t>IAQ-CALC TSI 7545 (CO2, T, RH); particle counters (PM2.5, PM10, UFP); O3 monitor; VOC monitor; AirokCO2 low-cost sensor (display); luxmeter; sound level meter; PMV/PPD analyzer (ISO 7730)</t>
  </si>
  <si>
    <t>Randomized controlled trial (RCT) in 30 modern open-space offices across 6 buildings in Porto, Portugal. Group A (n=15, intervention) vs Group B (n=15, control). Three interventions: (1) Biophilic — indoor plants (Sansevieria trifasciata, Dracaenas fragrans, Chlorophytum comosum, 1 pot/9 m²) in 12 offices; (2) CO2 sensors — low-cost AirokCO2 with display in 2 offices (1000 ppm threshold for ventilation adjustment); (3) Source control — printer relocation to unoccupied room in 1 office. Monitoring: 9am–6pm (some 24h), minute-by-minute. Pre-intervention and intervention phases (14 days apart). Key IAQ results: mean CO2=788 ppm (pre) vs 787 ppm (intervention, Group A); 6/30 offices &gt;1000 ppm, 2/30 &gt;1250 ppm. Mean PM2.5=8.4 µg/m³; PM10=10.2 µg/m³; UFP=4112 pt/cm³; VOCs=161 µg/m³; O3=5 µg/m³. Influencing factors: CO2 correlated with occupancy density (rs=0.604), glass area (rs=−0.395), number of windows (rs=−0.575). Opening windows: CO2 −14% (798→682 ppm) but PM2.5 +40%, PM10 +42%, UFP +72% (outdoor particle infiltration). Carpeted floors: I/O PM10 ratio +66% vs vinyl; higher T +0.8°C. VOCs: occupancy +98% vs non-occupied; wooden floors +245%; cleaning before hours +80%. Intervention effects: plants — non-significant trend for VOC reduction (30% in 88% of offices, p=0.069); CO2 sensors — 28% CO2 reduction in naturally ventilated office (B6O3: 831→597 ppm, p&lt;0.001); source control (printer removal) — UFP −14%, O3 −85%. Most offices had acceptable IEQ at baseline; limited room for improvement. Buildings B1 (LEED) and B5 (BREEAM): lower UFP, VOC, CO2 vs conventional. Thermal comfort: PMV neutral to slightly warm; mostly Category A (ISO 7730). Illuminance: mostly &gt;500 lux task areas; 5/30 offices below. Noise: 49 dB(A) average, all below OSHA limits.</t>
  </si>
  <si>
    <t>doc_47</t>
  </si>
  <si>
    <t>10.1016/j.applthermaleng.2021.116654</t>
  </si>
  <si>
    <t>Harrouz JP, Ghali K &amp; Ghaddar N</t>
  </si>
  <si>
    <t>Integrated solar – Windcatcher with dew-point indirect evaporative cooler for classrooms</t>
  </si>
  <si>
    <t>LBN</t>
  </si>
  <si>
    <t>MATLAB (custom finite volume code: space model + cross-flow DP-IEC [ε-NTU] + solar chimney [Ong 2003] + windcatcher + genetic algorithm optimizer); validated vs TRNSYS</t>
  </si>
  <si>
    <t>30–40 occupants / 100 m² classroom (10×10×3 m; 0.30–0.40 p/m²); 1.2 MET, 0.6 CLO</t>
  </si>
  <si>
    <t>ASHRAE Standard 62.1 (1000 ppm CO2 limit); study uses 850 ppm as comfort constraint</t>
  </si>
  <si>
    <t>Relative humidity (%); radiation asymmetry ΔTr (°C); PPD (%)</t>
  </si>
  <si>
    <t>Summer months May–September (typical day per month; quasi-steady hourly simulation)</t>
  </si>
  <si>
    <t>No field sensors (simulation only); validated vs TRNSYS space model, Sohani et al. DP-IEC regression, Bansal et al. windcatcher analytical model (max error 5.26%)</t>
  </si>
  <si>
    <t>Novel hybrid passive cooling system for classroom in Beqaa Valley, Lebanon (hot semi-arid; low dew-point T). System integrates: (1) windcatcher (H=3 m, max ASHRAE height); (2) cross-flow dew-point indirect evaporative cooler (DP-IEC, 1×1 m, 210 channels, γ=0.5, em=3 mm; Lm=Wm=1 m); (3) air-cooled double-layer window (5×2.5 m, 15 cm gap, south wall); (4) solar chimney (3×2×0.2 m, south facade). Two modes: natural ventilation (fan OFF, full bypass β=100%) and mixed mode (fan ON, DP-IEC active). GA optimizer (pop=30, gen=100, crossover=0.1): minimizes hourly objective J=αPPD(PPD−PPDset)²+αIAQ(tanh((x−xset)/100)+1)²+αfan(Pfan)²+αw(WC)². Decision variables: supply flowrate ṁsupply (0.4–1.2 kg/s = 4–12 ACH) and bypass fraction β (0–100%). Constraints: CO2&lt;850 ppm, PPD&lt;10%, ΔTr&lt;10°C, Tsupply&gt;12°C. Results: indoor T=24.8±0.3°C, RH=43–58%, CO2&lt;900 ppm throughout summer. Peak: July — 3.6 kWh/day + 185 L/day water. Solar chimney + windcatcher contributes 10–40% fan pressure head reduction. Window cooling: ΔTr&lt;3.5°C (vs 12°C conventional without cooling). Operational cost savings: 65.3% July; 87.2% May; 70% overall summer vs conventional COP=3 DX system. Validation: space model vs TRNSYS error 12%; DP-IEC vs Sohani et al. max 5.3%; windcatcher vs Bansal et al. max 5.26%. Limitations: low-rise only (≤2 floors); daytime only; humid climates reduce DP-IEC capacity; water consumption 190 L/day peak.</t>
  </si>
  <si>
    <t>doc_48</t>
  </si>
  <si>
    <t>10.3390/buildings15132193</t>
  </si>
  <si>
    <t>Pourtangestani M, Izadyar N, Jamei E &amp; Vrcelj Z</t>
  </si>
  <si>
    <t>Integrating Occupant Behavior into Window Design: A Dynamic Simulation Study for Enhancing Natural Ventilation in Residential Buildings</t>
  </si>
  <si>
    <t>EnergyPlus 9.6.0 (Airflow Network module)</t>
  </si>
  <si>
    <t>Single living room 7×4.5×2.4 m (representative unit)</t>
  </si>
  <si>
    <t>Solar gain (kWh/month)</t>
  </si>
  <si>
    <t>Annual (200 simulations; windows closed Jun–Aug and 10 PM–6 AM)</t>
  </si>
  <si>
    <t>Wind speed/direction, temperature, solar radiation (TMY/EPW)</t>
  </si>
  <si>
    <t>Behavior-integrated simulation: Same Behavior (SB, deterministic) vs Probable Behavior (PB, stochastic) derived from survey of 150 Melbourne households. 200 annual simulations across 5 window-design stories (WWR 0.25–0.60), 2 wall sizes (7 m and 4.5 m). PB increased annual ACH by 5–12% over SB. Peak summer ACH=4.8 in north-facing cross-ventilated layout (Story 1, Scenario A). Peak ACH up to 36 ACH in north–south cross-ventilation (Story 4). Solar gains up to ~708 kWh/month. No thermal comfort model (Fanger) used; behavior schedules derived directly from survey probabilities. Brick veneer construction; double-glazed low-E glass (U=2.8–3.2 W/m²K; SHGC=0.40–0.50). Climate specific to Melbourne NCC Zone 6.</t>
  </si>
  <si>
    <t>doc_49</t>
  </si>
  <si>
    <t>10.3390/buildings11120591</t>
  </si>
  <si>
    <t>Jia L-R, Han J, Chen X, Li Q-Y, Lee C-C &amp; Fung Y-H</t>
  </si>
  <si>
    <t>Interaction between Thermal Comfort, Indoor Air Quality and Ventilation Energy Consumption of Educational Buildings: A Comprehensive Review</t>
  </si>
  <si>
    <t>Multiple (CHN, GBR, ITA, ESP, IND, others)</t>
  </si>
  <si>
    <t>3–4× higher than residential/commercial (general statement)</t>
  </si>
  <si>
    <t>EN 16798; ASHRAE 62.1; CEN CR 1752; ISO/DIS 16814</t>
  </si>
  <si>
    <t>CO2, PM2.5, PM10, VOC, TVOC, NO2, SO2, O3, formaldehyde</t>
  </si>
  <si>
    <t>Not applicable (review)</t>
  </si>
  <si>
    <t>CO2, temperature, relative humidity, occupancy</t>
  </si>
  <si>
    <t>Partially</t>
  </si>
  <si>
    <t>Comprehensive bibliometric review of 148 articles (2000–2021) on TC, IAQ and ventilation energy in educational buildings. Main findings: (1) PMV-PPD underestimates children's thermal sensation up to 1.5 scale points; children prefer 2–3 K cooler than adults. (2) Mixed-mode (NV+MV) preferred for energy–comfort balance. (3) Optimal WWR: 30% north, 40% south, 50–60% east/west (Lakhdari et al.). (4) HVAC = 60–70% of total building energy. (5) CO2 acceptable range 380–1500 ppm (ESFA); green buildings &lt;1000 ppm. (6) PM2.5 reduced 40% by closing windows (Hou et al.). (7) Stratum ventilation achieves lowest energy consumption at acceptable TC (Fong et al.). Gaps: limited university IAQ studies; lack of bacterial/fungal aerosol data; socioeconomic effects on TC under-studied; gender differences not modelled. IoT/AI-based control recommended for mixed-mode optimisation.</t>
  </si>
  <si>
    <t>doc_50</t>
  </si>
  <si>
    <t>10.1016/j.buildenv.2022.109688</t>
  </si>
  <si>
    <t>Bamdad K, Matour S, Izadyar N &amp; Law T</t>
  </si>
  <si>
    <t>Introducing extended natural ventilation index for buildings under the present and future changing climates</t>
  </si>
  <si>
    <t>Python (custom calculation on TMY weather files; CSIRO morphed future weather)</t>
  </si>
  <si>
    <t>Not specified (climate-scale index, no specific building)</t>
  </si>
  <si>
    <t>ASHRAE Standard 55</t>
  </si>
  <si>
    <t>Humidity ratio (W_l, W_u)</t>
  </si>
  <si>
    <t>Annual (8760 h; present + 2050 + 2090 RCP2.6 &amp; RCP8.5)</t>
  </si>
  <si>
    <t>No sensors — TMY weather files (CSIRO); outdoor temperature, humidity ratio</t>
  </si>
  <si>
    <t>Proposes CPNV (Climatic Potential of NV) and CPENV (Climatic Potential of Extended NV) indices. CPENV extends CPNV up to 18% (full day) and 33% (office hours) via ASHRAE 55 airspeed offset +2.2°C at 1.2 m/s. Ten Australian cities across CZ1–CZ7. Future climate: TCPNV increases up to 27% or decreases up to 14.3% depending on zone. Darwin most sensitive to climate change (CPNV −18.5% under RCP8.5 by 2090). TCPNV = CPNV + CPENV. Humidity constraint (RH≤70%) reduces CPNV in Darwin by &gt;50%. Climate-scale index (no specific building simulated).</t>
  </si>
  <si>
    <t>doc_51</t>
  </si>
  <si>
    <t>10.1016/j.buildenv.2018.07.022</t>
  </si>
  <si>
    <t>Deme Belafi Z, Naspi F, Arnesano M, Reith A &amp; Revel GM</t>
  </si>
  <si>
    <t>Investigation on window opening and closing behavior in schools through measurements and surveys: A case study in Budapest</t>
  </si>
  <si>
    <t>HUN</t>
  </si>
  <si>
    <t>None (field monitoring + Weibull regression; NewTREND H2020 project)</t>
  </si>
  <si>
    <t>20 students / 28.6 m² (~0.70 p/m²)</t>
  </si>
  <si>
    <t>Indoor temperature; outdoor temperature</t>
  </si>
  <si>
    <t>Not applicable (8 months monitoring: Feb–Sep 2017)</t>
  </si>
  <si>
    <t>QAA910 NTC indoor temperature (±2%); QAC910 outdoor temperature; QPA2000 NDIR CO2 (0–2000 ppm, ±50+2%); Gamma wave window opening sensor</t>
  </si>
  <si>
    <t>Two SE-facing classrooms (2nd and 1st floor, 28.6 m², 109.6 m³, Budapest lat 47.44°N). 8-month monitoring (15-min timestep). Classroom 1: window use correlated with indoor T (Adj.R²=0.90) and outdoor T (0.26) — stochastic Weibull model fitted. Classroom 2: no statistical correlation found — habit/schedule-driven behavior (teacher opens windows at every break regardless of conditions). Weibull CDF: F(x)=1−exp(−((x−u)/l)^k·Δτ/τc). Logistic regression AUROC: Cl.1 0.62–0.68; Cl.2 0.50–0.62. Classroom 1 peak openings: 8:00 and 9:00 (arrivals/breaks); closings at 8:00 and 12:30. Classroom 2 peak openings: arrivals and departures. Key finding: identical physical settings can produce completely different behavioral patterns due to social norms and teacher habits.</t>
  </si>
  <si>
    <t>doc_52</t>
  </si>
  <si>
    <t>10.3390/buildings14061638</t>
  </si>
  <si>
    <t>Linking Occupant Behavior and Window Design through Post-Occupancy Evaluation: Enhancing Natural Ventilation and Indoor Air Quality</t>
  </si>
  <si>
    <t>None (questionnaire survey; Pearson correlation; statistical analysis)</t>
  </si>
  <si>
    <t>83 respondents; avg 196.7 m² residence, 33.5 m² living room</t>
  </si>
  <si>
    <t>Relative humidity; outdoor pollutants; odors</t>
  </si>
  <si>
    <t>Not applicable (cross-sectional survey)</t>
  </si>
  <si>
    <t>No objective sensors — questionnaire survey only (5-point Likert + WWR/orientation/placement questions)</t>
  </si>
  <si>
    <t>POE questionnaire study, Melbourne residential buildings. N=150 distributed, 83 eligible respondents (VU staff/HDR students; 8% MoE at 95% CI). Key findings: 85.5% open windows for fresh air; 45.5% for light/view; 60% use window opening as primary adaptive comfort behavior. Window closing: insects (74.5%), absence (69.1%), privacy (45.5%), hot outdoors (45.5%). North-facing windows: strongest correlation with opening/closing (r=0.37, p&lt;0.001). Configuration C (two side-by-side windows): highest engagement. Central ceiling-height window (Config B): r=0.3 (p≃0.006). Larger WWR (&gt;40%): correlated with blinds/shades use (r=0.34, p≃0.002), clothing change (r=0.28), ceiling fan (r=0.21). Smaller windows more actively operated for ventilation. West-facing: AC usage spike (afternoon solar gain). Phase 2: EnergyPlus simulations pending. Window orientation dominates occupant interaction patterns in Melbourne climate.</t>
  </si>
  <si>
    <t>doc_53</t>
  </si>
  <si>
    <t>10.1016/j.buildenv.2024.112255</t>
  </si>
  <si>
    <t>Sood D, Alhindawi I, Ali U, Finn D, McGrath JA, Byrne MA &amp; O'Donnell J</t>
  </si>
  <si>
    <t>Machine learning based multi-objective optimisation of energy consumption, thermal comfort and CO2 concentration in energy-efficient naturally ventilated residential dwellings</t>
  </si>
  <si>
    <t>IRL</t>
  </si>
  <si>
    <t>EnergyPlus + jEPlus + Python (XGBoost metamodel + NSGA-II)</t>
  </si>
  <si>
    <t>0.0125–0.3289 pers/m² (parametric range)</t>
  </si>
  <si>
    <t>WHO (1000 ppm); CIBSE TM59</t>
  </si>
  <si>
    <t>Thermal discomfort hours (WHO &gt;25°C; CIBSE TM59 &gt;26°C)</t>
  </si>
  <si>
    <t>Annual (60,000 parametric LHS simulations; A-rated Irish semi-detached house)</t>
  </si>
  <si>
    <t>XGBoost</t>
  </si>
  <si>
    <t>CO2 sensor (real, low-cost Airthings + high-grade calibration); energy smart meter; indoor temperature sensors</t>
  </si>
  <si>
    <t>XGBoost metamodel (99%+ accuracy, CVRMSE=1.90% combined outputs) replaces EnergyPlus in NSGA-II. 80% computation time reduction vs physics-based optimisation (10–15 min vs 4 days). 60,000 LHS simulations on jEPlus. 19 input parameters (U-values, HSPT, occupancy density, metabolic rate, window parameters, WWR, infiltration, ventilation, clothing). 10 Pareto-optimal sets reported. CO2 reduction up to 94% vs unoptimised. Heating &lt;75 kWh/(m²·yr) (A-rated EPC limit). Sobol sensitivity: HSPT + ventilation rate + WWR primary for heating; metabolic rate + occupancy density for CO2. Correlation R=0.98 metamodel vs EnergyPlus for 100 validation points. Climate: Cfb temperate oceanic (Dublin, Ireland).</t>
  </si>
  <si>
    <t>doc_54</t>
  </si>
  <si>
    <t>10.3390/buildings8050069</t>
  </si>
  <si>
    <t>Method to Integrate Radiant Cooling with Hybrid Ventilation to Improve Energy Efficiency and Avoid Condensation in Hot, Humid Environments</t>
  </si>
  <si>
    <t>IDA-ICE 4.7.1 (dynamic thermal simulation) + ANSYS-CFX (steady-state CFD, standard k-ε)</t>
  </si>
  <si>
    <t>24 occupants / 305.2 m² (0.079 p/m²); 1.0 MET, 0.55 CLO</t>
  </si>
  <si>
    <t>ASHRAE 62.1 (1000 ppm CO2 threshold for mechanical ventilation activation)</t>
  </si>
  <si>
    <t>Dew point temperature (Td); surface temperature (Ts,c); relative humidity</t>
  </si>
  <si>
    <t>Annual (4 seasonal avg daily profiles; full year dynamic simulation)</t>
  </si>
  <si>
    <t>Testo hot-wire anemometer (field validation); IDA-ICE sensors simulated (CO2, temperature, surface temperature)</t>
  </si>
  <si>
    <t>Architecture studio classroom, King Abdulaziz University, Jeddah (hot humid; Aw Köppen). 305.2 m², H=4 m, west-facing, WWR=40%. 6 cases: Case1 (AA, Tset=18-19°C), Case2 (AW base, Tset=21-26°C), Cases 3-6 (Hybrid NV+MV, WOT 26-28°C, 4 strategies STR1-4). Key: Case1→Case2: 422→84 kWh/m²a (−80%). Best annual average: 34% savings vs Case2. Condensation risk: Tdif=Ts,c−Td must remain &gt;4K (minimal) or &gt;2K (considerable). STR_4 optimization: Tsup = y1 + [m(x2−4)] (point-slope linear interpolation between Ta and 16°C Tsup to maintain Tdif≥4K). Best strategy by season: winter/spring=STR_1; summer=STR_2 (WOT=26°C, Tsup=16°C, RF-WOPot=9h/d); autumn=STR_4 (RF-WOPot=18h/d, 209 kWh/d). CFD: PMV≈+0.3 summer, +0.2 autumn (comfortable). August–Roche–Magnus Td approximation (a=17.625, b=243.04). Air conditioning: &gt;70% national electricity in Saudi Arabia. Dew point condensation risk is primary constraint for hybrid NV+radiant cooling in hot-humid climates.</t>
  </si>
  <si>
    <t>doc_55</t>
  </si>
  <si>
    <t>10.3390/en16062746</t>
  </si>
  <si>
    <t>Su L, Ouyang J &amp; Yang L</t>
  </si>
  <si>
    <t>Mixed-Mode Ventilation Based on Adjustable Air Velocity for Energy Benefits in Residential Buildings</t>
  </si>
  <si>
    <t>Python (custom PMV computation + SVM via sklearn; envelope curve fitting; ASHRAE_db II database)</t>
  </si>
  <si>
    <t>Not specified (database-derived statistical model)</t>
  </si>
  <si>
    <t>Relative humidity (excluded from model as low Pearson r)</t>
  </si>
  <si>
    <t>Not applicable (statistical model on ASHRAE_db II; 30,734 data points)</t>
  </si>
  <si>
    <t>No field sensors — ASHRAE Global Thermal Comfort Database II (ta, tr, va, RH, Iclo, M; 107,583 raw; 30,734 after screening)</t>
  </si>
  <si>
    <t>Statistical simulation model based on ASHRAE_db II (107,583 records, 23 countries; 30,734 after outlier removal). PMV model: PMV=(0.303e^(−0.036M)+0.0275)×L. SVM classifier (C=2, Gauss kernel, gamma=1): determines whether air velocity adjustment can bring PMV into [−0.5,0.5]; accuracy 98.16%, AUC=0.9989; 10-fold CV. Envelope curve method (5th-order polynomial ± 2σ): defines adjustable air-velocity interval [max{0,v_e−0.5258}, min{2,v_e+0.5258}] for updated sample points. Air-velocity adjustment increases comfort-meeting sample points from 13,195→18,915 (+43%). Guidance: HVAC above 30°C; NV below 30°C; higher T→higher va needed. Pearson r: ta–PMV=0.784; tr–PMV=0.786; RH–PMV=0.080 (excluded). Study focuses on va regulation rather than binary window open/close. Sichuan University + Tongji University collaboration. ASHRAE_db II DOI: 10.6078/D1F671.</t>
  </si>
  <si>
    <t>doc_56</t>
  </si>
  <si>
    <t>10.1016/j.proeng.2017.04.245</t>
  </si>
  <si>
    <t>Rinaldi A, Roccotelli M, Mangini AM, Fanti MP &amp; Iannone F</t>
  </si>
  <si>
    <t>Natural ventilation for passive cooling by means of optimized control logics</t>
  </si>
  <si>
    <t>Procedia Engineering</t>
  </si>
  <si>
    <t>TRNSYS v17 + TRNFLOW + MATLAB (PSO)</t>
  </si>
  <si>
    <t>Not specified (5-room apartment, 100 m²)</t>
  </si>
  <si>
    <t>EN 15251:2007 (adaptive comfort Category II)</t>
  </si>
  <si>
    <t>July–August (1488 h, hourly timestep; Bari, Italy)</t>
  </si>
  <si>
    <t>PSO</t>
  </si>
  <si>
    <t>No sensors — simulation only (weather from TRNSYS; indoor temperature from TRNFLOW)</t>
  </si>
  <si>
    <t>PSO minimises total discomfort hours N(Δ1,Δ2) = N_heat + N_cool. Decision variables: Δ1 (window open if T_indoor &gt; T_optimal+Δ1, range −6 to +6°C) and Δ2 (window open if T_outdoor &lt; T_indoor−Δ2, range −10 to 0°C). Optimal: Δ1=−1.07°C, Δ2=−7.51°C (16th PSO iteration). Case 0 (fixed IAQ hours): 32.9% discomfort; Case 1 (heuristic Δ1=0, Δ2=−3): 13.3%; Case 2 (PSO optimised): 8.7%. Overheating reduction: −65% Case 1, −81% Case 2 vs Case 0. Active cooling energy: Case 0=178 kWh, Case 1=134 kWh (−24.5%), Case 2=121 kWh (−32.1%). Co-simulation: MATLAB calls TRNSYS iteratively. w=0.7298, c1=c2=1.49618, population=10 particles. Function more sensitive to Δ2 (longer ventilation window at low outdoor temp). Mediterranean climate (Bari 41°N).</t>
  </si>
  <si>
    <t>doc_57</t>
  </si>
  <si>
    <t>10.1016/j.applthermaleng.2025.129032</t>
  </si>
  <si>
    <t>Er-retby H, Es-sakali N, Mghazli MO, El Mankibi M &amp; Benzaazoua M</t>
  </si>
  <si>
    <t>Occupant behavior impact on energy efficiency and comfort in naturally ventilated buildings across climates using adaptive comfort: models to metrics</t>
  </si>
  <si>
    <t>MAR; FRA</t>
  </si>
  <si>
    <t>92 m² residential building; 10 m²/person internal gains assumption</t>
  </si>
  <si>
    <t>EN 15251 / CEN 15251 (Category II, 80% acceptability)</t>
  </si>
  <si>
    <t>ACH (ventilation air change rate)</t>
  </si>
  <si>
    <t>Annual (32 occupancy scenarios × 2 climates; 1-min timestep)</t>
  </si>
  <si>
    <t>Temperature (indoor/outdoor); relative humidity; operative temperature (simulated)</t>
  </si>
  <si>
    <t>Probabilistic binary occupancy model: 32 scenarios from {0,1}^5 (5 time intervals: morning/lunchtime/afternoon/evening/midnight). Two contrasting climates: Benguerir (Morocco, semi-arid BSh, Z4) and Lyon (France, temperate Cfa, H1c). Adaptive comfort setpoints per EN 15251 Category II: Tmax=0.33·Trm+18.8+3.0°C; Tmin=0.33·Trm+18.8−3.0°C. Natural ventilation model: ZoneVentilation:WindandStackOpenArea (EnergyPlus); active when 25°C&lt;Tin&lt;35°C, 22°C&lt;Tout&lt;32°C, ΔT&gt;2°C. Validated model (R²&gt;0.90, slope&gt;0.75, ASHRAE Guideline 14). Peak ACH: 9.8 ACH (Benguerir, moderate usage); 12.2 ACH (Lyon, moderate usage). EUI reductions vs No-Usage baseline: 0.25 kWh/m² (Benguerir), 0.37 kWh/m² (Lyon). OHWR improvement under adaptive strategies: +67% (Benguerir), +39% (Lyon) for optimised schedules. Introduces PDR (Percentage Deviation Ratio) as novel metric for occupancy-impact quantification. EUI dominated by cooling in Benguerir (up to 200 kWh/m²·yr at high occupancy) and heating in Lyon (up to 160 kWh/m²·yr). Benguerir: overheating dominant (43–55% occupied hours &gt;26°C at high usage). Lyon: cold discomfort dominant at low occupancy (56–62% hours &lt;20°C).</t>
  </si>
  <si>
    <t>doc_58</t>
  </si>
  <si>
    <t>10.1016/j.enbuild.2025.115494</t>
  </si>
  <si>
    <t>Fernandez KB, Itokazu R &amp; Ito K</t>
  </si>
  <si>
    <t>Occupant-centric multicriteria optimization of hybrid personalized HVAC system: Impact of supply inlet layout and return air ratio</t>
  </si>
  <si>
    <t>JPN</t>
  </si>
  <si>
    <t>ANSYS Fluent (SST k-ω RANS) + Taguchi L25/L16b DOE + TOPSIS + S/N ratio</t>
  </si>
  <si>
    <t>2 occupants / 4.8×3.4×2.6 m = 16.3 m² (0.12 p/m²)</t>
  </si>
  <si>
    <t>ASHRAE 62.1 (7.5 L/s per person fresh air); 1000 ppm CO2 limit</t>
  </si>
  <si>
    <t>Average skin temperature (°C); energy requirement (kW)</t>
  </si>
  <si>
    <t>Steady-state CFD (66 simulations: 25 DV-PV + 25 NCV-PV + 16 DV 100% return air)</t>
  </si>
  <si>
    <t>MCDM</t>
  </si>
  <si>
    <t>No sensors — simulation only; validated vs Katramiz et al. experimental data (velocity at occupant faces)</t>
  </si>
  <si>
    <t>Three HPS configurations: DV-PV (bottom inlet), NCV-PV (near-ceiling inlet), DV-PV with 100% return air (fresh air exclusively via PV). TOPSIS (equal weights 1/3 each: IAQ, TC, energy) + Taguchi S/N ratio optimisation. Metrics: inhaled CO2 (ppm), avg skin temperature (neutral 33.6±0.5°C), HVAC energy (kW). Key finding: DV-PV without PV (PV=0 L/s) achieves highest TOPSIS score (0.99) — well-designed main ventilation makes PV unnecessary. NCV-PV best TOPSIS=0.98. DV 100% return air: max TOPSIS=0.82 (requires PV=6 L/s for acceptable CO2). PV jets effective at ≥6 L/s (0.76 m/s) — overcomes thermal plume. Outdoor conditions: 14.9°C, 420 ppm CO2 (Fukuoka March). Nasal cavity included in CSP model. Grid: 2.41M cells. SST k-ω model. S/N ratio fails for NCV-PV due to non-linear responses. Return air ratio range: 0.2–0.8. Heating mode for PV (OHU). Main ventilation: heating or cooling depending on outlet T.</t>
  </si>
  <si>
    <t>doc_59</t>
  </si>
  <si>
    <t>10.1177/1420326x20953458</t>
  </si>
  <si>
    <t>Abdullah HK &amp; Alibaba HZ</t>
  </si>
  <si>
    <t>Open-plan office design for improved natural ventilation and reduced mixed mode supplementary loads</t>
  </si>
  <si>
    <t>Indoor and Built Environment</t>
  </si>
  <si>
    <t>CYP</t>
  </si>
  <si>
    <t>TAS Engineering v9.5 (EDSL) + Taguchi L9(3^4) DOE + ANOVA</t>
  </si>
  <si>
    <t>10 m²/person (5/10/25 persons for 50/100/250 m² offices)</t>
  </si>
  <si>
    <t>WHO (1000 ppm); EN 15251:2007 Category II; ASHRAE 62.1</t>
  </si>
  <si>
    <t>Airflow rate (dm³/s); adaptive thermal comfort hours</t>
  </si>
  <si>
    <t>Annual (Famagusta TMY 2004–2018; hourly dynamic simulation)</t>
  </si>
  <si>
    <t>No sensors — simulation only; validated via ventilative cooling (VC) method (IEA Annex 62)</t>
  </si>
  <si>
    <t>Taguchi L9(3^4) orthogonal array: 4 design parameters × 3 levels = 9 simulation experiments (vs 81 FFD). Parameters: office area (50/100/250 m²), aspect ratio (1:1/1:1.5/1:2), window orientation (N+S/E+W/NE+SW cross), window opening ratio (25%/50%/100%). ANOVA: window opening ratio most influential for VR (63.34%), CO2 (47.98%), AC loads (66.80%); window orientation most influential for adaptive TC (71.05%). Near-optimal: large (250 m²), 1:1.5 ratio, N+S orientation, 100% opening → O-1: VR=1483h, CO2&lt;1000ppm=1734h, TC=944h, AC=10.14 kWh/m². MM strategy vs fully AC: 78.34% reduction in heating+cooling loads. NV provides acceptable VR ≥2.1 dm³/s·m² (EN 15251 Cat.II) for 65–71% of working hours. January+February require mechanical supply for minimum IAQ. Comfort range for window opening: 21–24°C (automated), AC activates at &lt;20°C or &gt;T_comf+3°C. Infiltration=0.3 ACH. No mechanical ventilation assigned. Validation: VC method (Belleri et al.); simulation vs VC max diff 16h in warm period. Climate: CSA Mediterranean (Famagusta 35°N). Internal gains: 42.6 W/m² (12.6 occ + 12 lighting + 18 equipment).</t>
  </si>
  <si>
    <t>doc_60</t>
  </si>
  <si>
    <t>10.1016/j.egypro.2016.10.196</t>
  </si>
  <si>
    <t>Baghaei Daemei A, Khalatbari Limaki A &amp; Safari H</t>
  </si>
  <si>
    <t>Opening Performance Simulation in Natural Ventilation using Design Builder: Case Study: A Residential Home in Rasht</t>
  </si>
  <si>
    <t>IRN</t>
  </si>
  <si>
    <t>DesignBuilder v4.5 (CFD module, EnergyPlus engine)</t>
  </si>
  <si>
    <t>Not specified (residential apartment, 100 m², first floor)</t>
  </si>
  <si>
    <t>ASHRAE (airflow modelling standard)</t>
  </si>
  <si>
    <t>Air velocity (m/s); temperature distribution</t>
  </si>
  <si>
    <t>Summer (July–August; dominant wind season for NV in Rasht)</t>
  </si>
  <si>
    <t>No sensors — simulation only; climate data from Meteonorm; wind data from Windfinder website</t>
  </si>
  <si>
    <t>CFD wind simulation study, Rasht, Iran (37.25°N, 49.60°E; BSk Köppen; temperate humid). 4 two-sided ventilation configurations (opposite/contiguous × perpendicular/parallel) + 3 single-sided ventilation configurations (single window / double windows / two-bladed windows). Governing equations: H1≥L1+L and H2=(3/6)H1 for first state; blade size constraint L2≤L1·L2≤L1 for second state; opening ratio L3≥(1/4)L4. Key findings: contiguous-parallel windows (adjacent walls, air enters and circulates whole room) &gt; opposite-perpendicular (direct exit, dead zones). Single-sided: two bladed-windows best (positive+negative pressure). Optimal blade depth ≤1.2× distance between windows. Air velocity target 0.5–1.0 m/s for comfort. Dominant wind: W (winter/autumn) and N (summer/spring). Average wind speed 6 kts year-round. Average summer temp 28°C. No IAQ measurement. No energy assessment. No formal optimization algorithm.</t>
  </si>
  <si>
    <t>doc_61</t>
  </si>
  <si>
    <t>10.1016/j.buildenv.2024.112295</t>
  </si>
  <si>
    <t>Nateghi S, Behzadi A, Kaczmarczyk J, Wargocki P &amp; Sadrizadeh S</t>
  </si>
  <si>
    <t>Optimal control strategy for a cutting-edge hybrid ventilation system in classrooms: Comparative analysis based on air pollution levels across cities</t>
  </si>
  <si>
    <t>Multiple (IND, POL, SWE)</t>
  </si>
  <si>
    <t>EnergyPlus 9.4 + SketchUp + JEPlus+EA (NSGA-II)</t>
  </si>
  <si>
    <t>30 students / 9×6×3.3 m = 54 m² (0.56 p/m²)</t>
  </si>
  <si>
    <t>EN 16798-1:2019 (Category III: 1350 ppm above 400 ppm outdoor); CPCB (Delhi); EU AQS (Warsaw); WHO AQG (Stockholm)</t>
  </si>
  <si>
    <t>PM2.5 (µg/m³); NO2 (µg/m³); PPD (%)</t>
  </si>
  <si>
    <t>Annual school year (September–June; hourly timestep); 3 cities: Delhi, Warsaw, Stockholm</t>
  </si>
  <si>
    <t>PM2.5 sensor (simulated, real monitored hourly data from CPCB/GIOS/AQICN); NO2 sensor (simulated, real monitored); CO2 sensor (simulated via EnergyPlus EMS); indoor temperature (simulated)</t>
  </si>
  <si>
    <t>Novel hybrid ventilation controller (EMS in EnergyPlus): windows open ONLY when outdoor PM2.5&lt;threshold AND NO2&lt;threshold AND T_min≤T_outdoor≤T_max. When windows closed: PTHP mechanical ventilation + HEPA/chemical filter (90%→50% efficiency over 6 months, replaced at 6 months). Running exhaust fan (300 CFM) when NV active. 4 optimisation parameters (NSGA-II): P1=min outdoor T for window open (0–21°C), P2=max outdoor T (21–35°C), P3=heating setpoint (16–21°C), P4=cooling setpoint (21–27°C). 3 objective functions: min avg CO2 (ppm), min energy (kWh), min avg PPD (%). Equal weights. Pollution thresholds: Delhi PM2.5=60 µg/m³/NO2=80 µg/m³ (CPCB); Warsaw PM2.5=25/NO2=40 (EU); Stockholm PM2.5=15/NO2=25 (WHO). NV utilisation: Delhi 11%, Warsaw 44%, Stockholm 31% of school year. Energy savings vs base case: Delhi −13%, Warsaw −65%, Stockholm −57%. CO2 improvement: Warsaw 43% Cat.I / 12% Cat.II / 45% Cat.III; Stockholm 30/14/56%; Delhi 8/14/78%. PM2.5 compliance: ~99% Delhi, ~100% Warsaw/Stockholm. PPD acceptable (≤25%) for 99% Delhi, &gt;80% Warsaw/Stockholm. Optimised: Delhi P1=7°C, P2=25°C; Stockholm P2=31°C. NSGA-II: pop=10, gen=200, crossover=100%, mutation=20%.</t>
  </si>
  <si>
    <t>doc_62</t>
  </si>
  <si>
    <t>10.1007/s13762-019-02403-6</t>
  </si>
  <si>
    <t>Aram M &amp; Abessi O</t>
  </si>
  <si>
    <t>Optimal design of green buildings using computational fluid dynamics and climate simulation tools</t>
  </si>
  <si>
    <t>International Journal of Environmental Science and Technology</t>
  </si>
  <si>
    <t>Design-Builder (CFD: SIMPLER algorithm; energy engine: EnergyPlus). WindrosePlot for wind roses.</t>
  </si>
  <si>
    <t>Duplex villa: 4 bedrooms, 2 living rooms, 1000 m² plot. Unoccupied during CFD simulation (boundary conditions only).</t>
  </si>
  <si>
    <t>Iranian National Building Code 2013 (min. aperture 4% of floor area); Iranian LUX standards</t>
  </si>
  <si>
    <t>Age of Air (AoA = V/Q, s); indoor air velocity (m/s); natural light (LUX)</t>
  </si>
  <si>
    <t>Summer design week (August hottest week); steady-state CFD scenarios</t>
  </si>
  <si>
    <t>No field sensors during CFD phase; validated against Kobayashi &amp; Chen (2003) experimental data (SF6 tracer gas, anemometers, thermocouples). Climate data: 60-yr synoptic records from Babolsar meteorological station.</t>
  </si>
  <si>
    <t>Seven scenarios in 3 pairs: (1) aperture area 4%–40%; (2) coating colour dark vs light (solar absorptance 0.7 vs 0.4 roof); (3) orientation roof window leeward vs windward. Model validated vs Kobayashi &amp; Chen (2003): discrepancy &lt;10%. RANS k-ε standard; C1ε=1.44, C2=1.9, σε=1.2, σk=1. Age of Air formula AOA=V/Q. Optimal combination reduced AOA 35% and indoor T ~6°C (~10°C apparent/RealFeel at HR=77%). Energy saving 30% comfort improvement stated; 25% NV enhancement from max vs min aperture. Illuminance also evaluated (LUX per Iranian building code). Roof window leeward most impactful factor when prevailing wind blows one direction; coating colour least impactful in this temperate-humid zone.</t>
  </si>
  <si>
    <t>doc_63</t>
  </si>
  <si>
    <t>10.1016/j.applthermaleng.2025.127696</t>
  </si>
  <si>
    <t>He X, Wen Y, Li N, Zou Q, Yang S, Wan MP &amp; Tang C</t>
  </si>
  <si>
    <t>Optimal fresh air distribution control strategy for multi-zone variable air volume air conditioning systems</t>
  </si>
  <si>
    <t>MATLAB/Simulink (custom dynamic model: energy balance, CO2 mass balance, simplified PMV, fan affinity laws). BAS/IoT infrastructure. Wi-Fi probe occupancy sensing (IEEE 802.11).</t>
  </si>
  <si>
    <t>3 zones of 7.5×12×3 m (270 m² total); max ~25 occupants per zone; Wi-Fi probe real-time occupancy (July 17 data)</t>
  </si>
  <si>
    <t>Fresh air imbalance rate σ (coefficient of variation of fresh air ratios across zones); CO2 exceedance rate (%)</t>
  </si>
  <si>
    <t>Single working day (8:00–23:00), 17 July (summer cooling season, Chongqing)</t>
  </si>
  <si>
    <t>Wi-Fi probe (IEEE 802.11, &gt;95% accuracy for zone occupancy); outdoor weather station (T ±0.3°C, RH ±3%, RS485); CO2 sensor in main return duct (existing BAS); temperature sensors (VAV terminals); pressure sensors</t>
  </si>
  <si>
    <t>Hybrid strategy (Strategy IV): NSWOA (Non-dominated Sorting Whale Optimization Algorithm) + entropy-weighted TOPSIS. Fresh air imbalance rate σ=√(Σ(Zi−Xavg)²/n)/μ; threshold σ0=0.48 (75th percentile via boxplot). When σ&gt;σ0: NSWOA optimizes supply air volume (Vsa,z 0–2000 m³/h) and PID parameters (KP, KI, KD, N) for critical zone; when σ&lt;σ0: MVE correction equation applied. Objective functions: min(Wtot), min(Yco2=tanh(1000/Ci)−1), min(|PMV|). PMV simplified: PMVi=γ1(T−24)²−γ2(νm−0.22)². PID transfer function G(S)=KP+KI/s+KD·N/(1+N/s). Optimal solution: Vsa,z=1277.64 m³/h, KP=−55.74, KI=−21.90, KD=−35.87, N=4.45×10⁻⁶. Results vs Strategy I (baseline): energy −9.6% (152.8→138.1 kWh); CO2 exceedance 83.7%→7.98%; PMV avg 0.9997→0.4847 (−51.5%); PID response time −57.5% (87→37 s); σ avg −10% (0.40→0.36). No CO2 sensors needed (Wi-Fi occupancy replaces them). NSWOA runtime: 1.302 s (fastest vs PSO 1.688 s and NSGA-II 2.143 s). Study limited to summer cooling in office buildings; other climates/seasons require further validation.</t>
  </si>
  <si>
    <t>doc_64</t>
  </si>
  <si>
    <t>10.1080/17512549.2019.1626764</t>
  </si>
  <si>
    <t>Sarkar A &amp; Bardhan R</t>
  </si>
  <si>
    <t>Optimal interior design for naturally ventilated low-income housing: a design-route for environmental quality and cooling energy saving</t>
  </si>
  <si>
    <t>Advances in Building Energy Research</t>
  </si>
  <si>
    <t>ANSYS Fluent (CFD: steady-state RANS k-ε, FVM, SIMPLE algorithm, DPM for PM2.5, Species Transport for humidity). MATLAB (Latin Hypercube Sampling, NSGA-II multi-objective optimization). Thermal energy balance model for cooling energy estimation.</t>
  </si>
  <si>
    <t>5–7 occupants / 21.42 m² low-income tenement unit (Lallubhai Compound, Mumbai); ~0.23–0.33 p/m²</t>
  </si>
  <si>
    <t>WHO AQG (PM2.5 limit 10 µg/m³); Household Air Pollution (HAP) guidelines</t>
  </si>
  <si>
    <t>Indoor air velocity (m/s); indoor air temperature due to cook-stove (K) and solar radiation (K); H2O mass fraction (humidity); PM2.5 percentage area of bed exposed to pollutant concentration</t>
  </si>
  <si>
    <t>Annual (5 cooler months nat-vent only + 7 warmer months with AC/ceiling fan); cooling energy balance model</t>
  </si>
  <si>
    <t>Testo 480° vane-anemometer (air velocity at window inlet); Kestrel ambient temperature sensor; iButton stove surface temperature sensor; DustTrak 8532 handheld PM2.5 sensor (in-situ measurements Aug 2018, 3 days). Sensor data used as CFD boundary conditions.</t>
  </si>
  <si>
    <t>Four-step mixed-mode framework: (1) Latin Hypercube Sampling (LHS, MATLAB latin_hs) → 10 samples × 2 cook-stove × 2 bed positions = 40 scenarios. Design variables: x1=partition wall distance from window (0.9–1.3 m), x2=partition wall height (1.5–2.9 m), x3=partition wall orientation (0.8–1.29 m), x4=cook-stove position (0.3–2.44 m), x5=bed position (2.5–4.5 m). (2) CFD ANSYS Fluent: airflow model (k-ε, UPWIND 2nd order, convergence 10⁻⁶ RMSE), temperature model (solar load + energy model), PM2.5 model (Euler-Lagrange DPM), humidity model (Species Transport). (3) Linear regression (5 equations, 5 dependent variables) + NSGA-II (pop=50, crossover=0.95, mutation=0.04, 10 runs, 100 generations, 2 objectives at a time). (4) Cooling energy: ETotalSaving=EAC+Efan−Enat-vent. Validation: MBE=4.5%, CV(RMSE)=11.99% (3-day in-situ data, monitoring point at 1.2 m height, mid-bed position). ODL 1 (optimal): air velocity 0.76 m/s (vs 0.12 m/s baseline); T=28.62°C (vs 29.89°C). Annual saving: INR 3177.65 (progressive electricity tariff) = 26.48% monthly average income. Dominant design variables: x2 (partition height) and x3 (orientation) for airflow; x1 (distance) and x2 for temperature. Cook-stove position (x4) secondary for airflow. 5 months/year nat-vent sufficient (T_avg&lt;26.85°C).</t>
  </si>
  <si>
    <t>doc_65</t>
  </si>
  <si>
    <t>10.1007/s13204-021-02066-1</t>
  </si>
  <si>
    <t>Zhou K, Li S, Cao R &amp; Ma X</t>
  </si>
  <si>
    <t>Optimal technology innovation of teaching buildings for primary and middle schools based on compound negative pressure ventilation</t>
  </si>
  <si>
    <t>Applied Nanoscience</t>
  </si>
  <si>
    <t>Airpak (CFD steady-state, Fluent solver engine, standard k-ε). CO2 detector United S8 (0–10000 ppm, ±3%, 20 s interval) for in-situ feasibility measurements.</t>
  </si>
  <si>
    <t>52 teachers and students / 9×7.5 m = 67.5 m² classroom (0.77 p/m²)</t>
  </si>
  <si>
    <t>GB/T 17226-1998 and GB/T 17226-2017 (Hygienic Requirements of Classroom Ventilation in Middle and Elementary School, China)</t>
  </si>
  <si>
    <t>Age of Air (maximum, at Z=1.12 m); average CO2 concentration (whole room, ppm); indoor wind speed (Z=0.7 m)</t>
  </si>
  <si>
    <t>Winter design conditions (T_ext=4°C, Xi'an NW China); heating load comparison vs traditional scheme</t>
  </si>
  <si>
    <t>United S8 CO2 detector (0–10000 ppm, ±3%, 20 s sampling); 5 measurement points at height 1.12 m (student breathing zone); in-situ test Oct 2018, outdoor T=22°C, 52 occupants.</t>
  </si>
  <si>
    <t>Compound negative pressure ventilation: sealed corridor as passive pre-conditioning chamber + exhaust fan on outer classroom wall + high lateral window on inner wall. System feasibility confirmed by in-situ measurement: closed classroom CO2 +1600–1900 ppm/class; negative pressure ventilation CO2 only +55–240 ppm, maintained &lt;1500 ppm even starting &gt;1250 ppm. CFD Airpak parametric study: 9 conditions (exhaust fan speed 2.2/2.8/3.4 m/s × high window width 250/300/500/600/700/800/900 mm×2). Optimal working conditions (WC 2–9+2–6): exhaust fan h=1850 mm interior, v=2.8 m/s×2; high window 250 mm×2 front; T_inlet=10°C; radiator 2200 W×3. CFD results WC 2–9: CO2 avg Z=1.12 m=861.2 ppm; max age of air=1166.9 s; T_avg=18.9°C; v_avg=0.059 m/s; PMV=−0.138; PPD=6.458%. Corridor design (WC 3–4): 2 inlet fans h=1820 mm, v=2.3 m/s; 3 radiators×1500 W/classroom; T_inlet at high window=11.1°C, v=0.3 m/s. Energy saving: classroom heating 6600 W vs 12150 W traditional = 45.7% saving; corridor 4500 W vs 4860 W = 7.4% saving. Total saving stated &gt;10%. Applicable to ~300,000 primary/secondary schools in China (typology: single corridor in series with fixed classrooms). Energy_saving_pct recorded as 46 (approx. of 45.7%). Note: doi year in spreadsheet shows 2022 (online pub. 3 Feb 2022), received 2021, published in Applied Nanoscience 2023 vol 13.</t>
  </si>
  <si>
    <t>doc_66</t>
  </si>
  <si>
    <t>10.3390/buildings14123822</t>
  </si>
  <si>
    <t>Yu J, Wang H, Sui Y, Xu Y &amp; Chen Y</t>
  </si>
  <si>
    <t>Optimising Ventilation Strategies Based on Predicted Mean Vote and Indoor CO2 Concentration: A Case Study of University Teaching Spaces in Cold Region of China</t>
  </si>
  <si>
    <t>Airpak 3.0 (Fluent-based CFD; RANS k-ε; PMV-PPD model integrated); transient simulation</t>
  </si>
  <si>
    <t>Large: 228 max / 221 m²; Medium: 70 max / 107 m²; Small: 40 max / 45 m². Simulation: 35 persons / medium classroom</t>
  </si>
  <si>
    <t>GB/T 18883-2022 (China, 1000 ppm); MOHURD classroom ventilation standard (2017)</t>
  </si>
  <si>
    <t>Indoor temperature (°C); PMV distribution</t>
  </si>
  <si>
    <t>3 days (24–26 April 2023, transition season, Harbin); simulation transient 2-min timestep</t>
  </si>
  <si>
    <t>Ubibot-GS1 CO2 sensor (0–10,000 ppm, ±30 ppm±3%, placed at 1.2 m height, centre of classroom)</t>
  </si>
  <si>
    <t>University building in Harbin (severe cold region, Dfb). 3 classroom sizes monitored 24–26 April 2023 (transition season, post-heating). CO2 exceeded 1000 ppm for 88–93% of class time; peaks: large 1970 ppm, medium 2751 ppm, small 3200 ppm. Simulation (Airpak 3.0) validated: Pearson R=0.99/0.985; CV(RMSE)=2.9%/4.6%. Optimisation scenarios: (1) corridor transom windows at 4 heights (1.7–3.2 m) → best at 3.2 m: peak CO2 1402→1218 ppm; (2) 1 vs 2 entrances → 2 entrances: 1218→1093 ppm; (3) intermittent segmental ventilation (keep corridor transom open during class, open front door during breaks, keep external windows closed) → peak CO2 2551→1149 ppm; exceedance time 87%→47%. PMV range maintained −0.5 to 0.5 throughout. Outdoor T during monitoring: avg 6.38°C (range −2.5 to 15.7°C). Clothing: 1.0 clo (male), 1.2 clo (female). Metabolic rate: 1.2 met. Boundary: external wall T=10°C, outdoor T=−10°C (winter design); natural ventilation 3 h⁻¹ when open. Key gap: standards do not address relationship between CO2 and thermal comfort in cold-region classrooms.</t>
  </si>
  <si>
    <t>doc_67</t>
  </si>
  <si>
    <t>10.3390/buildings15203718</t>
  </si>
  <si>
    <t>Zhang X, Zhang X, Yang Y &amp; Li J</t>
  </si>
  <si>
    <t>Optimization on Ventilation Time in Winter Based on Energy, Thermal Comfortable and Air Quality in Severe Cold Single-Residential Dwellings of Northeast China</t>
  </si>
  <si>
    <t>MATLAB 2022b (coupled thermal-PM2.5 model + NSGA-II)</t>
  </si>
  <si>
    <t>2-3 pers / 79 m² (0.025-0.038 p/m²)</t>
  </si>
  <si>
    <t>GB/T18883-2022 (China; PM2.5 ≤50 µg/m³)</t>
  </si>
  <si>
    <t>CO2 concentration; indoor temperature</t>
  </si>
  <si>
    <t>Winter heating season (field measurements + parametric simulations)</t>
  </si>
  <si>
    <t>PM2.5 recorder ZF-R3 (0-2999 µg/m³, ±1 µg/m³); temperature+humidity WEZY-2 (±0.1°C, ±0.1%RH); CO2 recorder WEZY-1 (0-5000 ppm, ±75 ppm); magnetic switch CKJM-1 (door opening); wind speed WFWZY-1 (0.05-30 m/s)</t>
  </si>
  <si>
    <t>Field study: 192 rural households surveyed 2020-2023 in NE China severe cold region (Fushun, Changchun, Harbin). Prototype: Type II dwelling (55% of sample), 79 m², brick-concrete, uninsulated 370mm walls, straw/firewood heating (Kang + rudimentary radiator). NSGA-II (pop=100, 200 gen, crossover=0.9, mutation=0.1): minimizes f1=−ta (maximize indoor temp) and f2=Ci,min (minimize PM2.5). Constraint: PM2.5≤50 µg/m³; acceptable temp range 12.0-21.2°C (90% residents). Thermal neutral temperature 16.84°C (regression MTS=0.226t0-3.804, R²=0.714). Model validation: NMBE=6.4%, CVRMSE=27.6% (within ASHRAE 14-2014 limits). Optimized ventilation: 13-35 s (fully open) or 19-35 s (half open) post-cooking, achieving PM2.5≈65-83 µg/m³ (near-guideline) with minimal thermal penalty (indoor T≈11.7-14.2°C). Key finding: 30 s optimized ventilation equivalent to 3 min unguided ventilation with 2-3°C less temperature drop.</t>
  </si>
  <si>
    <t>doc_68</t>
  </si>
  <si>
    <t>10.1016/j.clet.2025.100980</t>
  </si>
  <si>
    <t>Ma'bdeh SN, Alali RO, Al-Shawabkeh M et al.</t>
  </si>
  <si>
    <t>Optimizing airflow in double-skin facades: Influence of vents design and cavity depth</t>
  </si>
  <si>
    <t>Cleaner Engineering and Technology</t>
  </si>
  <si>
    <t>JOR</t>
  </si>
  <si>
    <t>OpenFOAM (via Butterfly plugin in Grasshopper/Rhino 7; steady-state incompressible RANS k-ε)</t>
  </si>
  <si>
    <t>15 persons / 38.88 m² (0.39 p/m²)</t>
  </si>
  <si>
    <t>ASHRAE 62 (actual-to-required ventilation ratio nQ)</t>
  </si>
  <si>
    <t>Turbulence kinetic energy (TKE); air velocity distribution</t>
  </si>
  <si>
    <t>No field sensors — CFD simulation only; EPW weather file (Amman-Marka); wind speed 3.6 m/s, direction 270°</t>
  </si>
  <si>
    <t>Box-window NVDSF system for 4th-floor office, Amman, Jordan. Room: 8.1×4.8×2.7 m (38.88 m²), 15 occupants. CFD mesh: 1,000,000 elements (100×100×100 divisions), snappyHexMesh, k-ε RANS, steady incompressible. Mesh sensitivity: max diff 0.027 (convergence). Group 1 (cavity depth): 0.20/0.60/1.00 m at fixed WWR=15%. nQ base case=3.75; cavity 0.2 m → nQ=5.3 (best). Mass flow: 0.51 kg/s (0.2m) &gt; 0.44 kg/s (0.6m) &gt; 0.43 kg/s (1.0m). TKE: 2.618 (0.2m) &gt; 1.718 (1.0m) &gt; 1.400 (0.6m). Group 2 (external vent WWR): 5%/10%/15% at fixed cavity 0.2 m. Result: changing WWR has no measurable effect on mass flow rate (all ≈0.5 kg/s, nQ≈5.2). Key finding: narrower cavity (0.2m) enhances NV; external vent size irrelevant. High-turbulence zones near corners/inlet-outlet identified. Future work: experimental prototype + PMV/PPD calculation. Study limitation: no furniture, internal heat gains, or thermal effects modeled.</t>
  </si>
  <si>
    <t>doc_69</t>
  </si>
  <si>
    <t>10.3389/fbuil.2019.00097</t>
  </si>
  <si>
    <t>Hamdy M &amp; Mauro GM</t>
  </si>
  <si>
    <t>Optimizing Hybrid Ventilation Control Strategies Toward Zero-Cooling Energy Building</t>
  </si>
  <si>
    <t>IDA ICE (IDA Indoor Climate and Energy)</t>
  </si>
  <si>
    <t>300 adults / 3 stories; 100/50/150 per level (Level 1: 100 adults, Level 2: 50, Level 3: 150)</t>
  </si>
  <si>
    <t>ASHRAE Standard 62; CIBSE comfort criteria</t>
  </si>
  <si>
    <t>PPD (Predicted Percentage of Dissatisfied)</t>
  </si>
  <si>
    <t>No field sensors — simulation only (IDA ICE); CO2 sensor (simulated); temperature (simulated); weather data from IDA ICE database</t>
  </si>
  <si>
    <t>3-story open-plan office, Glasgow, Scotland. Stack-assisted cross ventilation. Building area: 19 zones (1 Light Well, 4 Stacks, 4 zones/story, 4 Sub-floor Plenum zones). Floor area: 25×25 m with 8×8 m Light Well; served area 1683 m². Three hybrid strategies vs mechanical baseline. Hybrid 1 (4 Stacks + Light Well + Sub-floor Plenum, setpoint 23°C): saves 75% fan energy but heating +4.2 kWh/m²a. Hybrid 2 (east Stack only, setpoint 19°C Sub-floor): saves 50% fan energy, heating +2.2 kWh/m²a. Hybrid 3 (Hybrid 2 + variable setpoints based on outdoor temperature): saves 68% fan energy, heating +1.3 kWh/m²a. All three strategies achieve 100% cooling energy savings (zero cooling). Multi-criteria decision making (IAQ, thermal comfort, energy). Best: Hybrid 3 — optimal trade-off. Hydraulic diameter Stacks: HD=2×1.5×6/(1.5+6)=2.4m. Stack airflow validated by ASHRAE: Q=15.727 l/s (maximum). Opening areas: 1-2.5% of floor area (max 42 m²). Comfort: PPD&lt;25% target (CIBSE). CO2 setpoint: 1000 ppm (ASHRAE 62). Internal gains: 10 W/m² fluorescent lighting; 90W/adult; 110W/computer. U-window=2.6 W/m²K, SHGC=0.76.</t>
  </si>
  <si>
    <t>doc_70</t>
  </si>
  <si>
    <t>10.3390/app142311138</t>
  </si>
  <si>
    <t>López-Carreño R-D, Pujadas P &amp; Pardo-Bosch F</t>
  </si>
  <si>
    <t>Optimizing Ventilation Systems in Barcelona Schools: An AHP-Based Assessment for Improved Indoor Air Quality and Comfort</t>
  </si>
  <si>
    <t>Applied Sciences</t>
  </si>
  <si>
    <t>None (AHP multi-criteria decision framework; literature-based assessment)</t>
  </si>
  <si>
    <t>~25 students / average-size classroom (high-occupancy-density educational context)</t>
  </si>
  <si>
    <t>IDA 2 standard (&lt;920 ppm); IDA 3 standard (&lt;990 ppm); RITE (Spain)</t>
  </si>
  <si>
    <t>Temperature; humidity; particulate matter; VOCs</t>
  </si>
  <si>
    <t>Not applicable (qualitative assessment)</t>
  </si>
  <si>
    <t>No sensors — qualitative literature-based AHP assessment</t>
  </si>
  <si>
    <t>AHP multi-criteria analysis of 6 ventilation systems in Barcelona schools (Coastal Mediterranean climate, 41°22′57″N, 636 km²). Systems: N-SSV (single-sided NV), N-CRV (cross NV), N-AAC (NV with atria/courtyards), H-NMR (hybrid NV+mechanical recirculation), M-CVS (centralized mechanical). 6 criteria: initial cost, maintenance cost, IAQ, summer TC, winter TC, energy consumption. 5 case scenarios (varying economic/social/environmental weights). AHP matrices: 5×5, Consistency Index ≤0.026 (all ≤0.1 limit). Results: N-AAC best in scenarios 1, 4, 5 (balanced/economic); M-CVS best in scenarios 2, 3 (social-priority). H-NMR underperforms due to simplification assumption (cannot combine with other strategies). Field campaign reference (IAQ4EDU project): only 71% schools meet IDA2 all seasons; winter worst (51%); thermal comfort 74% all year; optimal conditions only 7.5% of study period. 8 million school-age children in Spain spend ~1300 h/yr in classrooms. 28,816 Spanish schools, most pre-2007 (no mandatory mechanical ventilation).</t>
  </si>
  <si>
    <t>doc_71</t>
  </si>
  <si>
    <t>10.1016/j.jobe.2021.103598</t>
  </si>
  <si>
    <t>Díaz-López C, Serrano-Jiménez A, Lizana J et al.</t>
  </si>
  <si>
    <t>Passive action strategies in schools: A scientific mapping towards eco-efficiency in educational buildings</t>
  </si>
  <si>
    <t>SciMAT v1.1.04 (Science Mapping Analysis Software Tool); bibliometric analysis</t>
  </si>
  <si>
    <t>Various (ASHRAE 62.1; EN 16798; WHO; national standards per study)</t>
  </si>
  <si>
    <t>PM2.5; PM10; VOC; CO2; temperature; humidity</t>
  </si>
  <si>
    <t>Not applicable (bibliometric review)</t>
  </si>
  <si>
    <t>Systematic literature review (SLR) + bibliometric analysis (SciMAT v1.1.04) of 537 papers (1982-2020) from Web of Science and SCOPUS. PRISMA flowchart: 1320 records → 614 after duplicates → 537 final. Three periods: P1 (1982-2010): 155 papers; P2 (2011-2015): 158 papers; P3 (2016-2020): 224 papers. 42 countries, 308 journals (top: Building and Environment 26 papers, Energy and Buildings 22). P1 motor themes: wind catchers (51.4 avg citations), field measurement, sustainable building, thermal insulation. P2: green roofs (GRS, motor), numerical models, classroom. P3: air pollutant (motor), school, thermal insulation. 24 passive strategies identified in different Köppen zones. Most prevalent: GRS (14 countries), thermal insulation optimization (12 countries), natural ventilation (9 countries). GRS applicable from tropical (A) to cold (D). Overlay graph: 76% keywords retained P1→P2; 74% P2→P3. Largest keyword growth: 103→144 (+40%). UK leads scientific production (15.7%), followed by USA (10.8%), China (10.2%). Research gap: passive strategies increasingly focused on CC adaptation, UHI mitigation, occupant comfort/IAQ. Roadmap (Fig.8): climate-responsive strategies per Köppen zone. Note: published in JBE Vol.45 (2022) but received 2021.</t>
  </si>
  <si>
    <t>doc_72</t>
  </si>
  <si>
    <t>10.1016/j.asej.2025.103442</t>
  </si>
  <si>
    <t>Xie L, Li Z, Zhong Q, Guan X &amp; Fan L</t>
  </si>
  <si>
    <t>passive climate control innovations in hunan courtyard dw...</t>
  </si>
  <si>
    <t>Ain Shams Engineering Journal</t>
  </si>
  <si>
    <t>DesignBuilder + Airpak + Climate Studio + Honeybee (EnergyPlus engine)</t>
  </si>
  <si>
    <t>Not specified (~4 rooms in historical compound, variable)</t>
  </si>
  <si>
    <t>GB 50033-2013; EN 17037 (daylighting); ASHRAE 14-2014 (model validation)</t>
  </si>
  <si>
    <t>PM2.5 (µg/m³); UDI (Useful Daylight Illuminance)</t>
  </si>
  <si>
    <t>JTG01 lux meter (±4%); HOBO temperature/humidity logger (±0.2°C, ±2.5%RH); Korno PGM-300 VOC/PM detector; Testo 425 anemometer (±0.01 m/s)</t>
  </si>
  <si>
    <t>Integrated EAT-DV (Earth Air Tunnel + Daylighting &amp; Ventilation) passive system in Ming-Qing dynasty courtyard dwelling, Hunan. Total energy saving 3888.2 kWh/yr (27.9%): cooling −3190.9 kWh (25.5%), heating −449.9 kWh, artificial lighting −247.4 kWh (55%). Summer indoor T reduced from 30.32°C to 28.25°C. Winter T increased from 10.3°C to 10.9°C. UDI (100–2000 lx) improved from 12.3% to 57.8%. PM2.5 reduced from 56.3 to 18.3 µg/m³. Ventilation rate: winter 0.34→0.49 ACH; summer 0.3→2.5 ACH. Model validated per ASHRAE 14-2014: NMBE&lt;5%, CV(RMSE)&lt;15%.</t>
  </si>
  <si>
    <t>doc_73</t>
  </si>
  <si>
    <t>10.1177/1420326x241241530</t>
  </si>
  <si>
    <t>de la Hoz-Torres ML, Aguilar AJ, Martínez-Aires MD &amp; Ruiz DP</t>
  </si>
  <si>
    <t>seasonal field study on thermal comfort in university cla...</t>
  </si>
  <si>
    <t>~1.1–2.8 m²/occupant (16 classrooms, 85–203 m², University of Granada)</t>
  </si>
  <si>
    <t>EN 16798-1:2019; ASHRAE 55:2023</t>
  </si>
  <si>
    <t>Clothing insulation (clo); running mean outdoor temperature (Θm)</t>
  </si>
  <si>
    <t>Not applicable (field study Sep 2021–Jun 2022)</t>
  </si>
  <si>
    <t>FHAD 46-C41A AHLBORN (T ±0.2K, RH ±2%); FPA805GTS AHLBORN globe thermometer (0.1°C); HD403TS2 Delta OHM anemometer (±0.03+2% m/s); AEMET outdoor weather station</t>
  </si>
  <si>
    <t>Seasonal TC field study in NV university classrooms, Granada (Csa Mediterranean). N=1966 valid questionnaires from 2062 students. Neutral temperatures: autumn 23.5°C, winter 23.1°C, spring 23.3°C, summer 23.9°C. 90% acceptability range overall: 21.1–25.0°C; winter 21.1–25.1°C; summer 22.6–25.3°C. 80% acceptability: 19.7–26.4°C (winter lower limit below RITE 21°C; summer upper limit exceeds RITE 25°C). Clothing insulation: autumn 0.90 clo, winter 0.75 clo, spring 0.50 clo, summer 0.40 clo. Highest thermal sensitivity in summer (slope 0.375/°C) and winter (0.246/°C). EN 16798 adaptive: data within Cat.III bounds; ASHRAE 55: winter 40% outside both acceptability limits. Key finding: RITE standard does not differentiate NV from AC buildings; adaptive comfort allows wider bands with energy saving potential.</t>
  </si>
  <si>
    <t>doc_74</t>
  </si>
  <si>
    <t>10.1016/j.buildenv.2019.01.027</t>
  </si>
  <si>
    <t>Belmans B, Aerts D, Verbeke S, Audenaert A &amp; Descamps F</t>
  </si>
  <si>
    <t>set-up and evaluation of a virtual test bed for simulatin...</t>
  </si>
  <si>
    <t>BEL</t>
  </si>
  <si>
    <t>EnergyPlus 8.8.0 (modified source; AFN) + OpenFOAM 3.0.1 (CFD for Cp) + GNU Octave 4.1.1 (occupant model)</t>
  </si>
  <si>
    <t>4 persons (2 working adults 30–40 yr + 2 primary school children); 700 m³ house</t>
  </si>
  <si>
    <t>NBN EN 15251; NBN EN 13779 (IDA1); NBN D50-001 (Belgian ventilation standard)</t>
  </si>
  <si>
    <t>Relative humidity; temperature; moisture (vapour pressure)</t>
  </si>
  <si>
    <t>Annual (700 sim: 5 strategies × 7 household types × 20 households)</t>
  </si>
  <si>
    <t>CO2 sensor (indoor); temperature/RH sensors (indoor/outdoor); electricity meters (fan energy); monitoring campaign Sep 2016–Sep 2017 at 1-min resolution</t>
  </si>
  <si>
    <t>VCVTB (Ventilation Controls Virtual Test Bed): open-source EnergyPlus-based framework for single- and mixed-mode ventilation (MMV) simulation. Integrates: AFN module (EnergyPlus modified), CFD wind pressure (OpenFOAM), semi-probabilistic occupant model (Octave). Case study: single-family house Belgium (Cfb). 5 ventilation strategies: n/M NBN, M/M NBN, M/M DCV, MMV auto, MMV manual. 140 households × 7 types × 20 households. MMV auto: windows open ~30% of year (summer), comparable IAQ to M/M DCV (IDA1 CO2, Class B RH), 68% less auxiliary fan energy vs M/M DCV, zero cooling energy. Adaptive thermal comfort (EN 15251 Cat.C) applied to MMV. Probabilistic occupant: Belgian time-use surveys; age/gender/activity metabolic CO2/heat/moisture. Atmospheric Boundary Layer wind profile (OpenFOAM; z0=0.03 m). Energy for heating n/M NBN highest; M/M NBN lowest heating via heat recovery.</t>
  </si>
  <si>
    <t>doc_75</t>
  </si>
  <si>
    <t>10.1016/j.jobe.2021.103108</t>
  </si>
  <si>
    <t>Cakyova K, Figueiredo A, Oliveira R, Rebelo F, Vicente R &amp; Fokaides P</t>
  </si>
  <si>
    <t>simulation of passive ventilation strategies towards indo...</t>
  </si>
  <si>
    <t>EnergyPlus 8.7.0 (calibrated model via DesignBuilder by Fokaides et al. 2016)</t>
  </si>
  <si>
    <t>4 persons (2 adults + 2 children); 149 m² treated floor area; TZ1: 2 persons/night; TZ2: 1 person/night</t>
  </si>
  <si>
    <t>ASHRAE 62; EN 13779:2007 (IDA categories; 1000 ppm limit)</t>
  </si>
  <si>
    <t>Indoor air temperature; overheating rate (% time T&gt;26°C)</t>
  </si>
  <si>
    <t>May–September cooling season; design week 10–17 August for CO2 plots</t>
  </si>
  <si>
    <t>No field sensors for this study; validated model from Fokaides et al. 2016 monitoring campaign (CVRMSE=2.46%, GOF=1.74%)</t>
  </si>
  <si>
    <t>Tseri Passive House, Nicosia Cyprus (first PH in Cyprus; Csa 'Strong Mediterranean'). 149 m² timber frame, MVHR 82% efficiency (Atrea DUPLEX 370 EC4.D), airtightness 0.6 ACH50. Three scenarios: S1 (original, continuous MVHR 0.50 ACH); S2 (MVHR off 22:10–7:50, only infiltration 0.03 ACH at night); S3-A/B (hybrid: MVHR day + night window NV, S3-A wind&lt;4 m/s only, S3-B + outdoor T&lt;26°C). S3-A: CO2 never exceeds 1000 ppm (design week); overheating 55.56%/51.81% (TZ1/TZ2). S2: CO2 up to 3008 ppm TZ1, 1826 ppm TZ2 (unacceptable). Cooling energy reduction: S3-B −28.11% (TZ1) vs S1. Energy_saving_pct = 28 (cooling demand reduction S3-B vs S1). Overheating with 26°C limit: S1=60%/58.9%, S3-A=55.56%/51.81%, S3-B=53.71%/50.78%. Context: occupants turned off MVHR at night due to noise → motivated scenario analysis.</t>
  </si>
  <si>
    <t>doc_76</t>
  </si>
  <si>
    <t>10.1080/14733315.2024.2414663</t>
  </si>
  <si>
    <t>Gholampour M, Taghipour M, Tahavvor A &amp; Jafari S</t>
  </si>
  <si>
    <t>statistical analysis of natural and mechanical ventilatio...</t>
  </si>
  <si>
    <t>International Journal of Ventilation</t>
  </si>
  <si>
    <t>Healthcare</t>
  </si>
  <si>
    <t>None (field measurement + SPSS 26 statistical analysis)</t>
  </si>
  <si>
    <t>~17 m²/room (3.80×4.50×2.80 m); ante-area 2.30×1.20×2.40 m; 140 spaces measured</t>
  </si>
  <si>
    <t>ANSI/ASHRAE/ASHE 170-2017; WHO (2009, 2021); ASHRAE 62.1</t>
  </si>
  <si>
    <t>Benzene (ppm); Toluene (ppm); TVOC (ppm); Odor intensity (olf/decipol)</t>
  </si>
  <si>
    <t>Summer thermal peak season; steady-state conditions (≥12h stable)</t>
  </si>
  <si>
    <t>TFA hygrometer/thermometer (T, RH data logger); AMV07 PROVA vane anemometer (air velocity at AHU vents 4–8 points/vent); PhoCheck TIGER ION (Benzene, Toluene, TVOC); ultrasonic vaporizer (airflow direction)</t>
  </si>
  <si>
    <t>Iranian hospital (semi-hot-arid climate, Shiraz). 140 spaces: inpatient wards (patient rooms, ICU, NICU, LDRP, pre-op, medication, doctor, locker, corridor, nursing stations). Five ventilation modes: (0) non-ventilated (closed windows + AHU off), (1) NV 1 open window, (2) NV 2 open windows, (3) MV (AHU only, closed windows), (4) MV + 1 open window, (5) MV + 2 open windows. Pollutant ranking lowest→highest: MV+2W &lt; MV+1W &lt; NV+2W &lt; MV closed &lt; NV+1W &lt; non-ventilated. NV+2W better than MV closed for TVOC. No significant effect of ventilation on T and RH (Kruskal-Wallis p&gt;0.05 for most T/RH comparisons). PAQ: odor intensity strongest predictor (β=0.966, p&lt;0.001); ventilation rate NOT significant (p=0.195). Adjusted R²=0.985. Multiple regression: PAQ = f(ventilation rate, TVOC, T, RH, odor intensity). Key: user satisfaction NOT guaranteed by meeting IAQ standards alone. Paint source (newly painted walls during measurement) identified as primary VOC source. Study unique for including PAQ (Perceived Air Quality) in decipol in hospital context.</t>
  </si>
  <si>
    <t>doc_77</t>
  </si>
  <si>
    <t>10.1016/j.buildenv.2024.111689</t>
  </si>
  <si>
    <t>Cen C, Cheng S, Tan E &amp; Wong NH</t>
  </si>
  <si>
    <t>Students' thermal comfort and cognitive performance in fan-assisted naturally ventilated classrooms in tropical Singapore</t>
  </si>
  <si>
    <t>SGP</t>
  </si>
  <si>
    <t>9 pers / classroom session (secondary school students, ~0.07-0.09 p/m2)</t>
  </si>
  <si>
    <t>ASHRAE 55-2020 (SET* calculation)</t>
  </si>
  <si>
    <t>Air velocity (m/s); wrist and arm skin temperature; heart rate (bpm)</t>
  </si>
  <si>
    <t>Aug 2021 and Jul-Aug 2022 (field sessions, 4 per school)</t>
  </si>
  <si>
    <t>HOBO UX100-011 (Ta, HR, Tg); HOBO T-DCI-F900-L-O (Va); Testo 445 (Ta, Va reference); HOBO U23 Pro v2 (outdoor); iButton DS1992L (skin temperature, wrist+arm); Polar OH1 (heart rate)</t>
  </si>
  <si>
    <t>Within-subjects design; N=36 secondary school students (18 per school); 4 formal sessions + 1 training per school. Fan-assisted NV classrooms: DC ceiling fans, old-type ceiling fans, axial fans (type 1 and 2). Ta range: 28.8-33.0 degC; Va range: 0.42-1.47 m/s. SET* neutral = 26.6 degC (R2=0.96), higher than university students in prior studies (thermal adaptation). Neutral comfort maintained with elevated Va when Ta&lt;=30 degC. Cognitive performance (CBS battery, 8 tasks): -9.2% slightly warm vs neutral; -18.1% warm vs neutral. NASA-TLX shows no significant differences (students unaware of cognitive decline). Physiological parameters (skin temp, HR) are significant predictors of thermal comfort in NV+fan environments. Sessions conducted during holidays/HBL days; 1-week interval between sessions; incentive SGD 20.</t>
  </si>
  <si>
    <t>doc_78</t>
  </si>
  <si>
    <t>10.1016/j.jobe.2021.103675</t>
  </si>
  <si>
    <t>Carreto-Hernandez LG, Moya SL, Varela-Boydo CA &amp; Francisco-Hernandez A</t>
  </si>
  <si>
    <t>Studies of ventilation and thermal comfort in different wind tower-room configurations considering humidification for a warm climate of Mexico</t>
  </si>
  <si>
    <t>MEX</t>
  </si>
  <si>
    <t>ANSYS Fluent 14 (RANS standard k-epsilon; DPM Lagrangian for spray)</t>
  </si>
  <si>
    <t>Sedentary occupant (1.2 met); room 3x3x2.3 m; occupancy density not specified</t>
  </si>
  <si>
    <t>ASHRAE 62.2 (residential ACH&gt;=recommended); ISO 7730 (PMV/PPD/PD)</t>
  </si>
  <si>
    <t>Relative humidity (%); air velocity (m/s); age of air (s)</t>
  </si>
  <si>
    <t>Steady-state (critical hour 16:00 h, average spring day, Cuernavaca)</t>
  </si>
  <si>
    <t>Meteorological station 767260 (10-yr dataset, Cuernavaca); PIV wind tunnel 1:16 scale (flow validation, Reyes et al. 2015); thermocouple type-T (spray validation)</t>
  </si>
  <si>
    <t>CFD 3D steady-state; 54 wind tower-room (T-R) configurations (6 tower positions x 9 window positions, 2 case orientations). Bidirectional windcatcher with curved roof; tower H=2.1m, W=0.9m. Expectation factor e=0.5 (Fanger &amp; Toftum 2002, warm climate all year). Optimal config (no chamfer, no humidification): E-6 (tower west wall, outlet window east wall central-north), ea=0.56. Classic B-5 config: ea=0.48. Chamfer 55 deg on B-5: +14% air exchange effectiveness; -6.2% PD (draft discomfort). Optimal humidification mass flow: 0.0035 kg/s -&gt; CE=35%, PPD=8.1% (neutral sensation), HR&lt;=49.3%. Mass flow &gt;0.005 kg/s: PPD&gt;10% (slightly cool). Mass flow &gt;0.01 kg/s: HR&gt;65% (health limit). ACH&gt;184 in all configs (complies ASHRAE 62.2). Validation RMSE: SKE=0.45 (best of 5 turbulence models tested). DPM spray validation: TBD deviation 3.6%, TBW deviation 4.3% vs Sureshkumar et al. 2008.</t>
  </si>
  <si>
    <t>doc_79</t>
  </si>
  <si>
    <t>10.3390/su14148243</t>
  </si>
  <si>
    <t>Perez-Carraminnana C, Macia-Mateu A, Sirvent-Garcia G &amp; Lledo-Llorca I</t>
  </si>
  <si>
    <t>Study of Natural Ventilation and Solar Control Strategies to Improve Energy Efficiency and Environmental Quality in Glazed Heated Swimming Pools in a Dry Mediterranean Climate</t>
  </si>
  <si>
    <t>DesignBuilder v6.1.8 (EnergyPlus engine); Ecotect Analysis 2017 (solar radiation); CFD static linear model (DesignBuilder integrated)</t>
  </si>
  <si>
    <t>Public heated swimming pool users; 18 measurement points (4 corners + 2 midpoints x 3 heights: 0.20, 1.80, 2.50 m)</t>
  </si>
  <si>
    <t>RITE (Spanish HVAC Regulation RD 1027/2007 &amp; RD 178/2021); CTE B4 climate zone</t>
  </si>
  <si>
    <t>Relative humidity (%); surface temperature (thermography); indoor air velocity (m/s)</t>
  </si>
  <si>
    <t>Periodic</t>
  </si>
  <si>
    <t>Annual (Oct-Apr heated covered period); field measurements Oct-Apr 2020-2021</t>
  </si>
  <si>
    <t>Flir Thermacam P25 (thermography, +-2 degC/+-2%); Testo 435-2 (thermal transmittance flowmeter); humidity/temperature wireless probe Testo (+-0.3 degC/+-2%HR); surface probe Testo (+-0.1 degC); hot-wire probe Testo (+-0.3 degC/+-0.3 m/s)</t>
  </si>
  <si>
    <t>Three public glazed heated swimming pools (El Toscar/Elche; Infanta Cristina/Los Alcazares; Aquadel Center/San Cayetano). Polycarbonate cellular cover 16 mm: U=2.4 W/(m2K), solar transmission 82%, light transmission 76%. Without NV: Ta exceeds 30 degC in 43-66% of measurements; peaks &gt;40 degC (non-compliant with RITE). 7 passive solutions compared sequentially. Solution 7 (optimal: bilateral lateral openings + upper openings + solar control g=0.46): mean monthly Ta reduction 22.20%; annual max Ta=33.65 degC (October); only 340 off-setpoint hours/yr (&lt;4% annual hours = regulatory limit). Indoor Va (CFD): &lt;0.20 m/s (complies with comfort regulations). Energy: cooling needs reduced 93% (126.87 -&gt; 8.60 kWh/(m2.yr)); heating needs virtually unchanged (63.71 -&gt; 66.90 kWh/(m2.yr)). AC can be deactivated (Case 3: 0 kWh cooling). Orientation and adjacent building shading determine solar gain differences between pools (Infanta Cristina: 4-6 degC cooler). Thermal bridges identified: Al profiles DeltaT&gt;10 degC vs polycarbonate; retractable joints DeltaT&gt;5 degC. BShs climate (Koppen): &gt;3000 sunshine hours/yr; annual avg 17.8-18.3 degC.</t>
  </si>
  <si>
    <t>doc_80</t>
  </si>
  <si>
    <t>10.3390/su12208687</t>
  </si>
  <si>
    <t>Yao X, Dewancker BJ, Guo Y, Han S &amp; Xu J</t>
  </si>
  <si>
    <t>Study on Passive Ventilation and Cooling Strategies for Cold Lanes and Courtyard Houses—A Case Study of Rural Traditional Village in Shaanxi, China</t>
  </si>
  <si>
    <t>ANSYS Fluent (LES + radiation algorithms) + Grasshopper + Ladybug + Honeybee + EnergyPlus</t>
  </si>
  <si>
    <t>1.1 persons per room; 16 rooms; 3 households in 349.04 m²</t>
  </si>
  <si>
    <t>China Affordable Housing Design Code GB50352-2012</t>
  </si>
  <si>
    <t>Indoor air velocity; air exchange rate</t>
  </si>
  <si>
    <t>Annual (hours when temperature exceeds 28°C); summer cooling simulation</t>
  </si>
  <si>
    <t>Thermometers (indoor/outdoor/cold lane temperature); anemometers (wind speed at building entrance, patio, interior)</t>
  </si>
  <si>
    <t>Passive cold lane ventilation system: cold air collected at bottom of cold lane, introduced into 2nd-floor rooms via hot-pressure ventilation, then distributed via stairwell. Annual cooling load reduction without WHR: 4786.494 kWh; with WHR: 2989.128 kWh (difference 1797.336 kWh). Cooling efficiency: natural ventilation 0.16°C/h vs cold lane system 1.81°C/h (10.8× larger). Ventilation time reduced from 33 to 4 min. Time above 28°C: baseline 2062 h; without WHR 1863 h; with WHR 1966 h. System usable 2036–2019 h/yr (23%). Traditional village Shuhe, Ankang, Shaanxi (subtropical monsoon climate). Wall heat radiation (WHR) significantly affects cooling load calculation.</t>
  </si>
  <si>
    <t>doc_81</t>
  </si>
  <si>
    <t>10.1177/1420326x221105628</t>
  </si>
  <si>
    <t>Faghihimani MM &amp; Hosseini SA</t>
  </si>
  <si>
    <t>Study on thermal comfort of low-sweat and high-sweat young men based on heart rate variability analysis under different clothing</t>
  </si>
  <si>
    <t>None (field measurement + MATLAB PhysioNet Cardiovascular Signal Toolbox; ECG signal processing)</t>
  </si>
  <si>
    <t>12 male university students (age 22.5±2.1 yr; 82.5±4.46 kg; 1.78±0.07 m); 2 groups of 6</t>
  </si>
  <si>
    <t>ANSI/ASHRAE Standard 55-2020; ISO 7726:1998; ISO 7730:2005</t>
  </si>
  <si>
    <t>Skin temperature (finger); heart rate (bpm)</t>
  </si>
  <si>
    <t>Not applicable (10-min recovery period per session; 4 sessions × 12 participants)</t>
  </si>
  <si>
    <t>AD8232 Bio-signal IC (ECG, 400 Hz); MLX90614 infrared skin temperature sensor (±0.2°C, 10 Hz); DHT11 ambient T+RH; Arduino Pro Micro microcontroller</t>
  </si>
  <si>
    <t>Uses LF/HF ratio (Low Frequency/High Frequency ratio from HRV) as thermal comfort index. Low-sweat group: higher LF/HF (1.82) vs high-sweat group (1.65), p&lt;0.05 — less thermal comfort. Clothing type significant: polyester worst (highest LF/HF), moisture management and cotton best for high-sweat group; undressed and cotton/moisture management for low-sweat group. LF/HF significantly correlated with ASHRAE questionnaire (Spearman r=0.638–0.932, all p&lt;0.01). Test protocol: treadmill 35 min (5→16→5 km/h); environmental chamber at 30°C, 35% RH, 0.2 m/s. Full factorial ANOVA: sweating × clothing, both significant (p&lt;0.001). Test power=0.98 (n=12 sufficient). Unique study: first to link individual sweating rate × clothing type × HRV-based thermal comfort index.</t>
  </si>
  <si>
    <t>doc_82</t>
  </si>
  <si>
    <t>10.3390/app15105449</t>
  </si>
  <si>
    <t>Aguilar-Carrasco MT, López-Lovillo RM, Suárez R &amp; León-Rodríguez ÁL</t>
  </si>
  <si>
    <t>Ventilation Strategies to Ensure Thermal Comfort for Users in School Buildings: A Critical Review</t>
  </si>
  <si>
    <t>Multiple (ESP, ITA, FRA, GBR, NOR, PRT, AUT, SWE, CYP, ROM, JOR, BRA, AUS)</t>
  </si>
  <si>
    <t>Not applicable (literature review; VOSviewer for co-occurrence mapping)</t>
  </si>
  <si>
    <t>UNE EN ISO 7730:2006; UNE EN 16798-1:2020</t>
  </si>
  <si>
    <t>Not applicable (review; studies span annual, seasonal and weekly periods)</t>
  </si>
  <si>
    <t>CO2 sensor; temperature sensor; relative humidity sensor (from reviewed studies)</t>
  </si>
  <si>
    <t>Critical review of 19 selected articles (from 277 initial) on ventilation strategies in schools considering thermal comfort. 7 strategy types identified: NV user-dependent (1a permanently open, 1b irregular), NV scheduled (2), NV sensor-controlled CO2/T (3a/3b), NV passive windcatcher/stack (4a/4b), MV constant flow (5), MV variable flow sensor-based (6), Hybrid (7). Natural ventilation &gt;50% in all climates; semi-arid 100% NV; hybrid only in oceanic. Only 2 studies simultaneously achieve optimal CO2+temperature (summer: Dhalluin et al. strategies 1b, 3b, 7 in oceanic; winter: Cablé et al. strategy 6 in continental). Authors: University of Seville (Spain). COVID-19 shifted focus to IAQ neglecting thermal comfort. Geographical concentration: 84% European studies. Key gap: lack of standardized protocols for combined IAQ+TC measurement.</t>
  </si>
  <si>
    <t>Col</t>
  </si>
  <si>
    <t>Block</t>
  </si>
  <si>
    <t>Variable</t>
  </si>
  <si>
    <t>Type</t>
  </si>
  <si>
    <t>Description</t>
  </si>
  <si>
    <t>Valid values</t>
  </si>
  <si>
    <t>A</t>
  </si>
  <si>
    <t>TEXT</t>
  </si>
  <si>
    <t>Unique identifier. Format: doc_01 … doc_82</t>
  </si>
  <si>
    <t>Free text</t>
  </si>
  <si>
    <t>B</t>
  </si>
  <si>
    <t>Full DOI of the article</t>
  </si>
  <si>
    <t>C</t>
  </si>
  <si>
    <t>First author et al.</t>
  </si>
  <si>
    <t>D</t>
  </si>
  <si>
    <t>NUM</t>
  </si>
  <si>
    <t>Year of publication</t>
  </si>
  <si>
    <t>E</t>
  </si>
  <si>
    <t>Full title of the article</t>
  </si>
  <si>
    <t>F</t>
  </si>
  <si>
    <t>Publication journal</t>
  </si>
  <si>
    <t>G</t>
  </si>
  <si>
    <t>LIST</t>
  </si>
  <si>
    <t>Primary building typology of the study</t>
  </si>
  <si>
    <t>School | Office | Residential | Healthcare | Mixed | Other</t>
  </si>
  <si>
    <t>H</t>
  </si>
  <si>
    <t>Climate zone (Köppen classification or as declared by authors)</t>
  </si>
  <si>
    <t>Mediterranean | Subtropical | Temperate | Continental | Arid | Tropical | Cold | Not specified</t>
  </si>
  <si>
    <t>I</t>
  </si>
  <si>
    <t>Country of the case study (ISO 3166-1 alpha-3 recommended)</t>
  </si>
  <si>
    <t>J</t>
  </si>
  <si>
    <t>Primary methodological nature of the study</t>
  </si>
  <si>
    <t>Simulation-only | Field measurement | Simulation+Field | Lab experiment | Review | Other</t>
  </si>
  <si>
    <t>K</t>
  </si>
  <si>
    <t>Simulation software used (EnergyPlus, DesignBuilder, TRNSYS…)</t>
  </si>
  <si>
    <t>L</t>
  </si>
  <si>
    <t>Validation method for model or results</t>
  </si>
  <si>
    <t>Experimental validation | Cross-validation | Statistical test | Sensitivity analysis | None reported</t>
  </si>
  <si>
    <t>M</t>
  </si>
  <si>
    <t>Declared occupancy density (pers/m² or description)</t>
  </si>
  <si>
    <t>N</t>
  </si>
  <si>
    <t>Primary indoor air quality indicator</t>
  </si>
  <si>
    <t>CO2 concentration | ACH | IAQ index | VOC | PM2.5 | PM10 | TVOC | Formaldehyde | Multiple | Other | Not assessed</t>
  </si>
  <si>
    <t>O</t>
  </si>
  <si>
    <t>CO₂ threshold used as set-point or criterion (ppm). If range, record upper value.</t>
  </si>
  <si>
    <t>P</t>
  </si>
  <si>
    <t>Source of CO₂ data: real measurement or simulation</t>
  </si>
  <si>
    <t>Sensor (real) | Simulated | Both | Not applicable</t>
  </si>
  <si>
    <t>Q</t>
  </si>
  <si>
    <t>IAQ standard or guideline referenced (EN 16798, ASHRAE 62.1, RESET, GB/T18883…)</t>
  </si>
  <si>
    <t>R</t>
  </si>
  <si>
    <t>Secondary IAQ indicator if present (VOC, PM2.5, humidity…)</t>
  </si>
  <si>
    <t>S</t>
  </si>
  <si>
    <t>Monitoring or sampling frequency for IAQ</t>
  </si>
  <si>
    <t>Continuous | Hourly | Daily | Periodic | Not reported</t>
  </si>
  <si>
    <t>T</t>
  </si>
  <si>
    <t>Primary thermal comfort indicator</t>
  </si>
  <si>
    <t>PMV-PPD | Operative temperature | TSV (survey) | Adaptive comfort | SET | ET* | Multiple | Not assessed</t>
  </si>
  <si>
    <t>U</t>
  </si>
  <si>
    <t>Lower bound of target PMV range (e.g. −0.5). Use °C if operative temperature.</t>
  </si>
  <si>
    <t>V</t>
  </si>
  <si>
    <t>Upper bound of target PMV range (e.g. +0.5). Use °C if operative temperature.</t>
  </si>
  <si>
    <t>W</t>
  </si>
  <si>
    <t>Thermal comfort standard or model applied</t>
  </si>
  <si>
    <t>ISO 7730 | ASHRAE 55 Static | ASHRAE 55 Adaptive | EN 15251 / EN 16798 | Own model | Not specified</t>
  </si>
  <si>
    <t>X</t>
  </si>
  <si>
    <t>Is real occupant feedback incorporated?</t>
  </si>
  <si>
    <t>Yes — surveys | Yes — physiological | No | Indirect only</t>
  </si>
  <si>
    <t>Y</t>
  </si>
  <si>
    <t>Predominant season or period of analysis</t>
  </si>
  <si>
    <t>Heating | Cooling | Both | Transition | All year</t>
  </si>
  <si>
    <t>Z</t>
  </si>
  <si>
    <t>Primary energy indicator reported</t>
  </si>
  <si>
    <t>EUI (kWh/m²·yr) | HVAC load (kWh) | % energy saving | Peak demand (kW) | CO2 emissions (kgCO2) | Multiple | Not assessed</t>
  </si>
  <si>
    <t>AA</t>
  </si>
  <si>
    <t>Reported energy saving (%). If range, record mean value.</t>
  </si>
  <si>
    <t>AB</t>
  </si>
  <si>
    <t>Is an energy comparison baseline declared?</t>
  </si>
  <si>
    <t>Yes — reference building | Yes — rule-based baseline | Yes — pre-retrofit | No baseline | Not applicable</t>
  </si>
  <si>
    <t>AC</t>
  </si>
  <si>
    <t>Does the study include retrofit strategies?</t>
  </si>
  <si>
    <t>Yes — envelope | Yes — systems | Yes — both | No | Not specified</t>
  </si>
  <si>
    <t>AD</t>
  </si>
  <si>
    <t>Energy simulation period (annual, seasonal, weeks…)</t>
  </si>
  <si>
    <t>AE</t>
  </si>
  <si>
    <t>Primary ventilation type analysed</t>
  </si>
  <si>
    <t>Natural | Hybrid | Mixed-mode | Mechanical (for comparison) | Multiple</t>
  </si>
  <si>
    <t>AF</t>
  </si>
  <si>
    <t>Primary optimisation or control method</t>
  </si>
  <si>
    <t>NSGA-II | NSGA-III | GA (single-obj) | PSO | Bayesian | MPC | Fuzzy logic | Rule-based | Reinforcement Learning | Exhaustive/parametric | MCDM | ANN surrogate | XGBoost surrogate | Multiple | None (descriptive) | Other</t>
  </si>
  <si>
    <t>AG</t>
  </si>
  <si>
    <t>Optimisation problem formulation</t>
  </si>
  <si>
    <t>Single-objective | Multi-objective unconstrained | Multi-objective constrained | Pareto front | Lexicographic | Not optimization</t>
  </si>
  <si>
    <t>AH</t>
  </si>
  <si>
    <t>Primary decision variable of the optimisation problem</t>
  </si>
  <si>
    <t>Window opening schedule | Window aperture size | CO2/IAQ set-point | Temperature set-point | Ventilation rate | Shading control | Envelope parameter | Multiple | Other</t>
  </si>
  <si>
    <t>AI</t>
  </si>
  <si>
    <t>Surrogate model used, if any</t>
  </si>
  <si>
    <t>ANN | XGBoost | Gaussian Process | Random Forest | Response Surface | None | Other</t>
  </si>
  <si>
    <t>AJ</t>
  </si>
  <si>
    <t>Source of performance feedback for optimisation</t>
  </si>
  <si>
    <t>Simulation only | Monitored data only | Simulation + monitoring | Not specified</t>
  </si>
  <si>
    <t>AK</t>
  </si>
  <si>
    <t>Types of sensors used or simulated (CO₂, temperature, occupancy, wind…)</t>
  </si>
  <si>
    <t>AL</t>
  </si>
  <si>
    <t>Is occupancy modelled stochastically or adaptively?</t>
  </si>
  <si>
    <t>Yes | No | Partially | Not applicable</t>
  </si>
  <si>
    <t>AM</t>
  </si>
  <si>
    <t>Extractor observations: ambiguities, notable data, discrepancies between abstract and full text…</t>
  </si>
  <si>
    <t>EXTRACTION FORM S11 — USER INSTRUCTIONS</t>
  </si>
  <si>
    <t>PURPOSE</t>
  </si>
  <si>
    <t>This form systematically records variables from the 82 articles in the final corpus (Step 4) to enrich Section 4 of the review article with quantitative evidence extracted directly from the texts.</t>
  </si>
  <si>
    <t>EXTRACTION PROTOCOL</t>
  </si>
  <si>
    <t>1. Open the PDF in Zotero. Complete Block 0 (Identification) and Block 1 (Context) fields from the abstract first.</t>
  </si>
  <si>
    <t>2. Proceed to the full text to complete Blocks 2–5. If a value is not reported, leave the cell empty (do NOT write 'NA' or '0').</t>
  </si>
  <si>
    <t>3. For dropdown fields, ALWAYS select one of the listed options. If none applies, use 'Other' and add a note in the Notes column.</t>
  </si>
  <si>
    <t>4. For numeric fields (CO2_threshold_ppm, PMV_target_min/max, Energy_saving_pct): enter the numeric value only, no units or symbols.</t>
  </si>
  <si>
    <t>5. Use the Notes field to record any ambiguity, notable finding, or discrepancy between abstract and full text.</t>
  </si>
  <si>
    <t>BLOCK DESCRIPTIONS</t>
  </si>
  <si>
    <t>B0 — IDENTIFICATION: traceability fields (doc_id, DOI, authors, year, title, journal). Do not modify doc_id.</t>
  </si>
  <si>
    <t>B1 — CONTEXT: building typology, climate zone, country, study type, simulation tool, validation method, occupancy density.</t>
  </si>
  <si>
    <t>B2 — IAQ: primary indoor air quality indicator, CO₂ threshold, measurement method, referenced standard, secondary indicator, monitoring frequency.</t>
  </si>
  <si>
    <t>B3 — THERMAL COMFORT: primary thermal comfort indicator, target PMV/temperature range, comfort model, occupant feedback, season of analysis.</t>
  </si>
  <si>
    <t>B4 — ENERGY PERFORMANCE: primary energy indicator, energy saving (%), comparison baseline, retrofit inclusion, simulation period.</t>
  </si>
  <si>
    <t>B5 — OPTIMISATION &amp; CONTROL: ventilation type, optimisation method, problem formulation, primary decision variable, surrogate model, performance feedback source, sensor types, stochastic occupancy modelling.</t>
  </si>
  <si>
    <t>QUALITY CONTROL</t>
  </si>
  <si>
    <t>— After completing 20 records, check consistency of dropdown values and numeric fields.</t>
  </si>
  <si>
    <t>— The doc_id field must match the order of the RIS exported in S10.</t>
  </si>
  <si>
    <t>— On completion, run Script S12 in R to generate descriptive statistics from the extracted dataset.</t>
  </si>
  <si>
    <t>############################################################</t>
  </si>
  <si>
    <t># SCRIPT S12 — Descriptive analysis of S11 extraction form</t>
  </si>
  <si>
    <t># Input:  S11_Extraction_data.xlsx  (sheet "S11_Extraction")</t>
  </si>
  <si>
    <t># Output: descriptive tables and figures for Section 4</t>
  </si>
  <si>
    <t>library(readxl); library(dplyr); library(ggplot2)</t>
  </si>
  <si>
    <t>library(tidyr);  library(writexl); library(forcats)</t>
  </si>
  <si>
    <t># 1. Load --------------------------------------------------------</t>
  </si>
  <si>
    <t>df &lt;- read_excel("S11_Formulario_Extraccion.xlsx",</t>
  </si>
  <si>
    <t xml:space="preserve">                 sheet = "S11_Extraction", skip = 1)</t>
  </si>
  <si>
    <t>df &lt;- df[df$doc_id != "doc_id", ]</t>
  </si>
  <si>
    <t>df$Year &lt;- as.integer(df$Year)</t>
  </si>
  <si>
    <t>cat("Records loaded:", nrow(df), "\n")</t>
  </si>
  <si>
    <t>cat("Fields available:", ncol(df), "\n")</t>
  </si>
  <si>
    <t># 2. Block 1 — Context -------------------------------------------</t>
  </si>
  <si>
    <t>cat("\n=== BLOCK 1: CONTEXT ===\n")</t>
  </si>
  <si>
    <t>print(table(df$Building_typology, useNA="ifany"))</t>
  </si>
  <si>
    <t>print(table(df$Climate_zone,      useNA="ifany"))</t>
  </si>
  <si>
    <t>print(table(df$Study_type,        useNA="ifany"))</t>
  </si>
  <si>
    <t>print(table(df$Validation_method, useNA="ifany"))</t>
  </si>
  <si>
    <t># 3. Block 2 — IAQ -----------------------------------------------</t>
  </si>
  <si>
    <t>cat("\n=== BLOCK 2: IAQ ===\n")</t>
  </si>
  <si>
    <t>print(table(df$IAQ_metric_primary, useNA="ifany"))</t>
  </si>
  <si>
    <t>df$CO2_threshold_ppm &lt;- as.numeric(df$CO2_threshold_ppm)</t>
  </si>
  <si>
    <t>cat("CO2 threshold (ppm) — summary:\n")</t>
  </si>
  <si>
    <t>print(summary(df$CO2_threshold_ppm))</t>
  </si>
  <si>
    <t># 4. Block 3 — Thermal Comfort -----------------------------------</t>
  </si>
  <si>
    <t>cat("\n=== BLOCK 3: THERMAL COMFORT ===\n")</t>
  </si>
  <si>
    <t>print(table(df$TC_metric_primary, useNA="ifany"))</t>
  </si>
  <si>
    <t>print(table(df$TC_comfort_model,  useNA="ifany"))</t>
  </si>
  <si>
    <t>df$PMV_min &lt;- as.numeric(df$PMV_target_min)</t>
  </si>
  <si>
    <t>df$PMV_max &lt;- as.numeric(df$PMV_target_max)</t>
  </si>
  <si>
    <t># 5. Block 4 — Energy --------------------------------------------</t>
  </si>
  <si>
    <t>cat("\n=== BLOCK 4: ENERGY ===\n")</t>
  </si>
  <si>
    <t>print(table(df$Energy_metric, useNA="ifany"))</t>
  </si>
  <si>
    <t>df$Energy_saving_pct &lt;- as.numeric(df$Energy_saving_pct)</t>
  </si>
  <si>
    <t>cat("Energy saving % — summary:\n")</t>
  </si>
  <si>
    <t>print(summary(df$Energy_saving_pct))</t>
  </si>
  <si>
    <t># 6. Block 5 — Optimisation &amp; Control ----------------------------</t>
  </si>
  <si>
    <t>cat("\n=== BLOCK 5: OPTIMISATION ===\n")</t>
  </si>
  <si>
    <t>print(table(df$Ventilation_type,    useNA="ifany"))</t>
  </si>
  <si>
    <t>print(table(df$Optim_method,        useNA="ifany"))</t>
  </si>
  <si>
    <t>print(table(df$Problem_formulation, useNA="ifany"))</t>
  </si>
  <si>
    <t>print(table(df$Surrogate_model,     useNA="ifany"))</t>
  </si>
  <si>
    <t># 7. Cross-table: typology x optimisation method -----------------</t>
  </si>
  <si>
    <t>cross_tab &lt;- df %&gt;%</t>
  </si>
  <si>
    <t xml:space="preserve">  filter(!is.na(Building_typology), !is.na(Optim_method)) %&gt;%</t>
  </si>
  <si>
    <t xml:space="preserve">  count(Building_typology, Optim_method) %&gt;%</t>
  </si>
  <si>
    <t xml:space="preserve">  pivot_wider(names_from=Optim_method, values_from=n, values_fill=0)</t>
  </si>
  <si>
    <t>write_xlsx(list(cross_typology_method=cross_tab),</t>
  </si>
  <si>
    <t xml:space="preserve">           "S12_descriptive_results.xlsx")</t>
  </si>
  <si>
    <t>cat("\nFile S12_descriptive_results.xlsx saved.\n")</t>
  </si>
  <si>
    <t># 8. Figure — Distribution of optimisation methods ---------------</t>
  </si>
  <si>
    <t>df_plot &lt;- df %&gt;%</t>
  </si>
  <si>
    <t xml:space="preserve">  filter(!is.na(Optim_method), Optim_method != "None (descriptive)") %&gt;%</t>
  </si>
  <si>
    <t xml:space="preserve">  count(Optim_method) %&gt;%</t>
  </si>
  <si>
    <t xml:space="preserve">  mutate(Optim_method=fct_reorder(Optim_method, n))</t>
  </si>
  <si>
    <t>ggplot(df_plot, aes(x=Optim_method, y=n, fill=Optim_method)) +</t>
  </si>
  <si>
    <t xml:space="preserve">  geom_col(show.legend=FALSE) +</t>
  </si>
  <si>
    <t xml:space="preserve">  coord_flip() +</t>
  </si>
  <si>
    <t xml:space="preserve">  labs(title="Distribution of optimisation methods (n=82)",</t>
  </si>
  <si>
    <t xml:space="preserve">       x=NULL, y="Number of studies") +</t>
  </si>
  <si>
    <t xml:space="preserve">  theme_minimal(base_size=11) +</t>
  </si>
  <si>
    <t xml:space="preserve">  theme(plot.title=element_text(face="bold"))</t>
  </si>
  <si>
    <t>ggsave("S12_fig_optim_methods.png", width=8, height=5, dpi=300)</t>
  </si>
  <si>
    <t>cat("Figure S12_fig_optim_methods.png saved.\n")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</si>
</sst>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rgb="FFFFFFFF"/>
      <name val="Arial"/>
    </font>
    <font>
      <b/>
      <sz val="9"/>
      <color rgb="FF1F3864"/>
      <name val="Arial"/>
    </font>
    <font>
      <sz val="9"/>
      <name val="Arial"/>
    </font>
    <font>
      <b/>
      <sz val="9"/>
      <color rgb="FF1F5C99"/>
      <name val="Arial"/>
    </font>
    <font>
      <b/>
      <sz val="10"/>
      <color rgb="FFFFFFFF"/>
      <name val="Arial"/>
    </font>
    <font>
      <b/>
      <sz val="14"/>
      <color rgb="FFFFFFFF"/>
      <name val="Arial"/>
    </font>
    <font>
      <sz val="10"/>
      <color rgb="FF000000"/>
      <name val="Arial"/>
    </font>
    <font>
      <b/>
      <sz val="11"/>
      <color rgb="FFFFFFFF"/>
      <name val="Arial"/>
    </font>
    <font>
      <sz val="9"/>
      <name val="Courier New"/>
    </font>
  </fonts>
  <fills count="18">
    <fill>
      <patternFill patternType="none"/>
    </fill>
    <fill>
      <patternFill patternType="gray125"/>
    </fill>
    <fill>
      <patternFill patternType="solid">
        <fgColor rgb="FF1F5C99"/>
      </patternFill>
    </fill>
    <fill>
      <patternFill patternType="solid">
        <fgColor rgb="FF375623"/>
      </patternFill>
    </fill>
    <fill>
      <patternFill patternType="solid">
        <fgColor rgb="FF7F6000"/>
      </patternFill>
    </fill>
    <fill>
      <patternFill patternType="solid">
        <fgColor rgb="FF843C0C"/>
      </patternFill>
    </fill>
    <fill>
      <patternFill patternType="solid">
        <fgColor rgb="FF17375E"/>
      </patternFill>
    </fill>
    <fill>
      <patternFill patternType="solid">
        <fgColor rgb="FF3E1F6E"/>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DAEEF3"/>
      </patternFill>
    </fill>
    <fill>
      <patternFill patternType="solid">
        <fgColor rgb="FFE8D5F5"/>
      </patternFill>
    </fill>
    <fill>
      <patternFill patternType="solid">
        <fgColor rgb="FFFFFFFF"/>
      </patternFill>
    </fill>
    <fill>
      <patternFill patternType="solid">
        <fgColor rgb="FFF7FBFF"/>
      </patternFill>
    </fill>
    <fill>
      <patternFill patternType="solid">
        <fgColor rgb="FFF4F9FF"/>
      </patternFill>
    </fill>
    <fill>
      <patternFill patternType="solid">
        <fgColor rgb="FFFFF9C4"/>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29">
    <xf numFmtId="0" fontId="0" fillId="0" borderId="0" xfId="0"/>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3" fillId="16"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7" fillId="14" borderId="0" xfId="0" applyFont="1" applyFill="1" applyAlignment="1">
      <alignment horizontal="left" vertical="center" wrapText="1"/>
    </xf>
    <xf numFmtId="0" fontId="8" fillId="3"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7" fillId="17" borderId="0" xfId="0" applyFont="1" applyFill="1" applyAlignment="1">
      <alignment horizontal="left" vertical="center" wrapText="1"/>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0" borderId="0" xfId="0" applyFont="1" applyAlignment="1">
      <alignment horizontal="left" vertical="center"/>
    </xf>
    <xf numFmtId="0" fontId="1"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2" xfId="0" applyBorder="1"/>
    <xf numFmtId="0" fontId="0" fillId="0" borderId="3" xfId="0" applyBorder="1"/>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4"/>
  <sheetViews>
    <sheetView tabSelected="1" workbookViewId="0">
      <pane xSplit="6" ySplit="2" topLeftCell="G3" activePane="bottomRight" state="frozen"/>
      <selection pane="topRight"/>
      <selection pane="bottomLeft"/>
      <selection pane="bottomRight" activeCell="B11" sqref="B11"/>
    </sheetView>
  </sheetViews>
  <sheetFormatPr baseColWidth="10" defaultColWidth="9.140625" defaultRowHeight="15" x14ac:dyDescent="0.25"/>
  <cols>
    <col min="1" max="1" width="8" customWidth="1"/>
    <col min="2" max="2" width="28" customWidth="1"/>
    <col min="3" max="3" width="30" customWidth="1"/>
    <col min="4" max="4" width="7" customWidth="1"/>
    <col min="5" max="5" width="50" customWidth="1"/>
    <col min="6" max="6" width="30" customWidth="1"/>
    <col min="7" max="8" width="18" customWidth="1"/>
    <col min="9" max="9" width="16" customWidth="1"/>
    <col min="10" max="10" width="20" customWidth="1"/>
    <col min="11" max="11" width="18" customWidth="1"/>
    <col min="12" max="12" width="22" customWidth="1"/>
    <col min="13" max="13" width="16" customWidth="1"/>
    <col min="14" max="14" width="22" customWidth="1"/>
    <col min="15" max="16" width="16" customWidth="1"/>
    <col min="17" max="17" width="22" customWidth="1"/>
    <col min="18" max="18" width="20" customWidth="1"/>
    <col min="19" max="19" width="18" customWidth="1"/>
    <col min="20" max="20" width="22" customWidth="1"/>
    <col min="21" max="22" width="12" customWidth="1"/>
    <col min="23" max="23" width="22" customWidth="1"/>
    <col min="24" max="24" width="18" customWidth="1"/>
    <col min="25" max="25" width="16" customWidth="1"/>
    <col min="26" max="26" width="22" customWidth="1"/>
    <col min="27" max="27" width="14" customWidth="1"/>
    <col min="28" max="28" width="28" customWidth="1"/>
    <col min="29" max="29" width="22" customWidth="1"/>
    <col min="30" max="30" width="16" customWidth="1"/>
    <col min="31" max="31" width="20" customWidth="1"/>
    <col min="32" max="32" width="26" customWidth="1"/>
    <col min="33" max="34" width="28" customWidth="1"/>
    <col min="35" max="35" width="18" customWidth="1"/>
    <col min="36" max="36" width="26" customWidth="1"/>
    <col min="37" max="37" width="22" customWidth="1"/>
    <col min="38" max="38" width="18" customWidth="1"/>
    <col min="39" max="39" width="35" customWidth="1"/>
  </cols>
  <sheetData>
    <row r="1" spans="1:39" ht="18" customHeight="1" x14ac:dyDescent="0.25">
      <c r="A1" s="21" t="s">
        <v>0</v>
      </c>
      <c r="B1" s="23"/>
      <c r="C1" s="23"/>
      <c r="D1" s="23"/>
      <c r="E1" s="23"/>
      <c r="F1" s="24"/>
      <c r="G1" s="28" t="s">
        <v>1</v>
      </c>
      <c r="H1" s="23"/>
      <c r="I1" s="23"/>
      <c r="J1" s="23"/>
      <c r="K1" s="23"/>
      <c r="L1" s="23"/>
      <c r="M1" s="24"/>
      <c r="N1" s="27" t="s">
        <v>2</v>
      </c>
      <c r="O1" s="23"/>
      <c r="P1" s="23"/>
      <c r="Q1" s="23"/>
      <c r="R1" s="23"/>
      <c r="S1" s="24"/>
      <c r="T1" s="22" t="s">
        <v>3</v>
      </c>
      <c r="U1" s="23"/>
      <c r="V1" s="23"/>
      <c r="W1" s="23"/>
      <c r="X1" s="23"/>
      <c r="Y1" s="24"/>
      <c r="Z1" s="25" t="s">
        <v>4</v>
      </c>
      <c r="AA1" s="23"/>
      <c r="AB1" s="23"/>
      <c r="AC1" s="23"/>
      <c r="AD1" s="24"/>
      <c r="AE1" s="26" t="s">
        <v>5</v>
      </c>
      <c r="AF1" s="23"/>
      <c r="AG1" s="23"/>
      <c r="AH1" s="23"/>
      <c r="AI1" s="23"/>
      <c r="AJ1" s="23"/>
      <c r="AK1" s="23"/>
      <c r="AL1" s="24"/>
      <c r="AM1" s="21" t="s">
        <v>0</v>
      </c>
    </row>
    <row r="2" spans="1:39" ht="36" customHeight="1" x14ac:dyDescent="0.25">
      <c r="A2" s="1" t="s">
        <v>6</v>
      </c>
      <c r="B2" s="1" t="s">
        <v>7</v>
      </c>
      <c r="C2" s="1" t="s">
        <v>8</v>
      </c>
      <c r="D2" s="1" t="s">
        <v>9</v>
      </c>
      <c r="E2" s="1" t="s">
        <v>10</v>
      </c>
      <c r="F2" s="1" t="s">
        <v>11</v>
      </c>
      <c r="G2" s="2" t="s">
        <v>12</v>
      </c>
      <c r="H2" s="2" t="s">
        <v>13</v>
      </c>
      <c r="I2" s="2" t="s">
        <v>14</v>
      </c>
      <c r="J2" s="2" t="s">
        <v>15</v>
      </c>
      <c r="K2" s="2" t="s">
        <v>16</v>
      </c>
      <c r="L2" s="2" t="s">
        <v>17</v>
      </c>
      <c r="M2" s="2" t="s">
        <v>18</v>
      </c>
      <c r="N2" s="3" t="s">
        <v>19</v>
      </c>
      <c r="O2" s="3" t="s">
        <v>20</v>
      </c>
      <c r="P2" s="3" t="s">
        <v>21</v>
      </c>
      <c r="Q2" s="3" t="s">
        <v>22</v>
      </c>
      <c r="R2" s="3" t="s">
        <v>23</v>
      </c>
      <c r="S2" s="3" t="s">
        <v>24</v>
      </c>
      <c r="T2" s="4" t="s">
        <v>25</v>
      </c>
      <c r="U2" s="4" t="s">
        <v>26</v>
      </c>
      <c r="V2" s="4" t="s">
        <v>27</v>
      </c>
      <c r="W2" s="4" t="s">
        <v>28</v>
      </c>
      <c r="X2" s="4" t="s">
        <v>29</v>
      </c>
      <c r="Y2" s="4" t="s">
        <v>30</v>
      </c>
      <c r="Z2" s="5" t="s">
        <v>31</v>
      </c>
      <c r="AA2" s="5" t="s">
        <v>32</v>
      </c>
      <c r="AB2" s="5" t="s">
        <v>33</v>
      </c>
      <c r="AC2" s="5" t="s">
        <v>34</v>
      </c>
      <c r="AD2" s="5" t="s">
        <v>35</v>
      </c>
      <c r="AE2" s="6" t="s">
        <v>36</v>
      </c>
      <c r="AF2" s="6" t="s">
        <v>37</v>
      </c>
      <c r="AG2" s="6" t="s">
        <v>38</v>
      </c>
      <c r="AH2" s="6" t="s">
        <v>39</v>
      </c>
      <c r="AI2" s="6" t="s">
        <v>40</v>
      </c>
      <c r="AJ2" s="6" t="s">
        <v>41</v>
      </c>
      <c r="AK2" s="6" t="s">
        <v>42</v>
      </c>
      <c r="AL2" s="6" t="s">
        <v>43</v>
      </c>
      <c r="AM2" s="1" t="s">
        <v>44</v>
      </c>
    </row>
    <row r="3" spans="1:39" ht="20.100000000000001" customHeight="1" x14ac:dyDescent="0.25">
      <c r="A3" s="7" t="s">
        <v>45</v>
      </c>
      <c r="B3" s="8" t="s">
        <v>46</v>
      </c>
      <c r="C3" s="8" t="s">
        <v>47</v>
      </c>
      <c r="D3" s="8">
        <v>2025</v>
      </c>
      <c r="E3" s="8" t="s">
        <v>48</v>
      </c>
      <c r="F3" s="8" t="s">
        <v>49</v>
      </c>
      <c r="G3" s="8" t="s">
        <v>50</v>
      </c>
      <c r="H3" s="8" t="s">
        <v>51</v>
      </c>
      <c r="I3" s="8" t="s">
        <v>52</v>
      </c>
      <c r="J3" s="8" t="s">
        <v>53</v>
      </c>
      <c r="K3" s="8" t="s">
        <v>54</v>
      </c>
      <c r="L3" s="8" t="s">
        <v>55</v>
      </c>
      <c r="M3" s="8" t="s">
        <v>56</v>
      </c>
      <c r="N3" s="8" t="s">
        <v>57</v>
      </c>
      <c r="O3" s="8"/>
      <c r="P3" s="8" t="s">
        <v>58</v>
      </c>
      <c r="Q3" s="8" t="s">
        <v>59</v>
      </c>
      <c r="R3" s="8" t="s">
        <v>60</v>
      </c>
      <c r="S3" s="8" t="s">
        <v>61</v>
      </c>
      <c r="T3" s="8" t="s">
        <v>62</v>
      </c>
      <c r="U3" s="8">
        <v>-0.5</v>
      </c>
      <c r="V3" s="8">
        <v>0.5</v>
      </c>
      <c r="W3" s="8" t="s">
        <v>63</v>
      </c>
      <c r="X3" s="8" t="s">
        <v>64</v>
      </c>
      <c r="Y3" s="8" t="s">
        <v>58</v>
      </c>
      <c r="Z3" s="8" t="s">
        <v>65</v>
      </c>
      <c r="AA3" s="8">
        <v>78</v>
      </c>
      <c r="AB3" s="8" t="s">
        <v>66</v>
      </c>
      <c r="AC3" s="8" t="s">
        <v>64</v>
      </c>
      <c r="AD3" s="8" t="s">
        <v>67</v>
      </c>
      <c r="AE3" s="8" t="s">
        <v>68</v>
      </c>
      <c r="AF3" s="8" t="s">
        <v>69</v>
      </c>
      <c r="AG3" s="8" t="s">
        <v>70</v>
      </c>
      <c r="AH3" s="8" t="s">
        <v>71</v>
      </c>
      <c r="AI3" s="8" t="s">
        <v>72</v>
      </c>
      <c r="AJ3" s="8" t="s">
        <v>73</v>
      </c>
      <c r="AK3" s="8" t="s">
        <v>74</v>
      </c>
      <c r="AL3" s="8" t="s">
        <v>64</v>
      </c>
      <c r="AM3" s="8" t="s">
        <v>75</v>
      </c>
    </row>
    <row r="4" spans="1:39" ht="20.100000000000001" customHeight="1" x14ac:dyDescent="0.25">
      <c r="A4" s="9" t="s">
        <v>76</v>
      </c>
      <c r="B4" s="10" t="s">
        <v>77</v>
      </c>
      <c r="C4" s="10" t="s">
        <v>78</v>
      </c>
      <c r="D4" s="10">
        <v>2023</v>
      </c>
      <c r="E4" s="10" t="s">
        <v>79</v>
      </c>
      <c r="F4" s="10" t="s">
        <v>80</v>
      </c>
      <c r="G4" s="10" t="s">
        <v>81</v>
      </c>
      <c r="H4" s="10" t="s">
        <v>82</v>
      </c>
      <c r="I4" s="10" t="s">
        <v>83</v>
      </c>
      <c r="J4" s="10" t="s">
        <v>84</v>
      </c>
      <c r="K4" s="10" t="s">
        <v>85</v>
      </c>
      <c r="L4" s="10" t="s">
        <v>86</v>
      </c>
      <c r="M4" s="10" t="s">
        <v>87</v>
      </c>
      <c r="N4" s="10" t="s">
        <v>57</v>
      </c>
      <c r="O4" s="10"/>
      <c r="P4" s="10" t="s">
        <v>88</v>
      </c>
      <c r="Q4" s="10" t="s">
        <v>89</v>
      </c>
      <c r="R4" s="10" t="s">
        <v>90</v>
      </c>
      <c r="S4" s="10" t="s">
        <v>90</v>
      </c>
      <c r="T4" s="10" t="s">
        <v>91</v>
      </c>
      <c r="U4" s="10">
        <v>21</v>
      </c>
      <c r="V4" s="10">
        <v>27</v>
      </c>
      <c r="W4" s="10" t="s">
        <v>92</v>
      </c>
      <c r="X4" s="10" t="s">
        <v>64</v>
      </c>
      <c r="Y4" s="10" t="s">
        <v>93</v>
      </c>
      <c r="Z4" s="10" t="s">
        <v>65</v>
      </c>
      <c r="AA4" s="10"/>
      <c r="AB4" s="10" t="s">
        <v>94</v>
      </c>
      <c r="AC4" s="10" t="s">
        <v>64</v>
      </c>
      <c r="AD4" s="10" t="s">
        <v>95</v>
      </c>
      <c r="AE4" s="10" t="s">
        <v>96</v>
      </c>
      <c r="AF4" s="10" t="s">
        <v>97</v>
      </c>
      <c r="AG4" s="10" t="s">
        <v>98</v>
      </c>
      <c r="AH4" s="10" t="s">
        <v>99</v>
      </c>
      <c r="AI4" s="10" t="s">
        <v>100</v>
      </c>
      <c r="AJ4" s="10" t="s">
        <v>101</v>
      </c>
      <c r="AK4" s="10" t="s">
        <v>91</v>
      </c>
      <c r="AL4" s="10" t="s">
        <v>64</v>
      </c>
      <c r="AM4" s="10" t="s">
        <v>102</v>
      </c>
    </row>
    <row r="5" spans="1:39" ht="20.100000000000001" customHeight="1" x14ac:dyDescent="0.25">
      <c r="A5" s="7" t="s">
        <v>103</v>
      </c>
      <c r="B5" s="8" t="s">
        <v>104</v>
      </c>
      <c r="C5" s="8" t="s">
        <v>105</v>
      </c>
      <c r="D5" s="8">
        <v>2019</v>
      </c>
      <c r="E5" s="8" t="s">
        <v>106</v>
      </c>
      <c r="F5" s="8" t="s">
        <v>49</v>
      </c>
      <c r="G5" s="8" t="s">
        <v>50</v>
      </c>
      <c r="H5" s="8" t="s">
        <v>107</v>
      </c>
      <c r="I5" s="8" t="s">
        <v>83</v>
      </c>
      <c r="J5" s="8" t="s">
        <v>84</v>
      </c>
      <c r="K5" s="8" t="s">
        <v>108</v>
      </c>
      <c r="L5" s="8" t="s">
        <v>109</v>
      </c>
      <c r="M5" s="8" t="s">
        <v>110</v>
      </c>
      <c r="N5" s="8" t="s">
        <v>57</v>
      </c>
      <c r="O5" s="8"/>
      <c r="P5" s="8" t="s">
        <v>88</v>
      </c>
      <c r="Q5" s="8" t="s">
        <v>89</v>
      </c>
      <c r="R5" s="8" t="s">
        <v>90</v>
      </c>
      <c r="S5" s="8" t="s">
        <v>90</v>
      </c>
      <c r="T5" s="8" t="s">
        <v>91</v>
      </c>
      <c r="U5" s="8">
        <v>25.5</v>
      </c>
      <c r="V5" s="8">
        <v>25.5</v>
      </c>
      <c r="W5" s="8" t="s">
        <v>92</v>
      </c>
      <c r="X5" s="8" t="s">
        <v>64</v>
      </c>
      <c r="Y5" s="8" t="s">
        <v>111</v>
      </c>
      <c r="Z5" s="8" t="s">
        <v>112</v>
      </c>
      <c r="AA5" s="8">
        <v>45</v>
      </c>
      <c r="AB5" s="8" t="s">
        <v>66</v>
      </c>
      <c r="AC5" s="8" t="s">
        <v>64</v>
      </c>
      <c r="AD5" s="8" t="s">
        <v>113</v>
      </c>
      <c r="AE5" s="8" t="s">
        <v>96</v>
      </c>
      <c r="AF5" s="8" t="s">
        <v>114</v>
      </c>
      <c r="AG5" s="8" t="s">
        <v>115</v>
      </c>
      <c r="AH5" s="8" t="s">
        <v>116</v>
      </c>
      <c r="AI5" s="8" t="s">
        <v>100</v>
      </c>
      <c r="AJ5" s="8" t="s">
        <v>101</v>
      </c>
      <c r="AK5" s="8" t="s">
        <v>117</v>
      </c>
      <c r="AL5" s="8" t="s">
        <v>64</v>
      </c>
      <c r="AM5" s="8" t="s">
        <v>118</v>
      </c>
    </row>
    <row r="6" spans="1:39" ht="20.100000000000001" customHeight="1" x14ac:dyDescent="0.25">
      <c r="A6" s="9" t="s">
        <v>119</v>
      </c>
      <c r="B6" s="10" t="s">
        <v>120</v>
      </c>
      <c r="C6" s="10" t="s">
        <v>121</v>
      </c>
      <c r="D6" s="10">
        <v>2016</v>
      </c>
      <c r="E6" s="10" t="s">
        <v>122</v>
      </c>
      <c r="F6" s="10" t="s">
        <v>123</v>
      </c>
      <c r="G6" s="10" t="s">
        <v>50</v>
      </c>
      <c r="H6" s="10" t="s">
        <v>107</v>
      </c>
      <c r="I6" s="10" t="s">
        <v>83</v>
      </c>
      <c r="J6" s="10" t="s">
        <v>84</v>
      </c>
      <c r="K6" s="10" t="s">
        <v>124</v>
      </c>
      <c r="L6" s="10" t="s">
        <v>86</v>
      </c>
      <c r="M6" s="10" t="s">
        <v>89</v>
      </c>
      <c r="N6" s="10" t="s">
        <v>57</v>
      </c>
      <c r="O6" s="10"/>
      <c r="P6" s="10" t="s">
        <v>88</v>
      </c>
      <c r="Q6" s="10" t="s">
        <v>125</v>
      </c>
      <c r="R6" s="10" t="s">
        <v>90</v>
      </c>
      <c r="S6" s="10" t="s">
        <v>90</v>
      </c>
      <c r="T6" s="10" t="s">
        <v>62</v>
      </c>
      <c r="U6" s="10"/>
      <c r="V6" s="10"/>
      <c r="W6" s="10" t="s">
        <v>126</v>
      </c>
      <c r="X6" s="10" t="s">
        <v>64</v>
      </c>
      <c r="Y6" s="10" t="s">
        <v>111</v>
      </c>
      <c r="Z6" s="10" t="s">
        <v>127</v>
      </c>
      <c r="AA6" s="10"/>
      <c r="AB6" s="10" t="s">
        <v>128</v>
      </c>
      <c r="AC6" s="10" t="s">
        <v>64</v>
      </c>
      <c r="AD6" s="10" t="s">
        <v>129</v>
      </c>
      <c r="AE6" s="10" t="s">
        <v>96</v>
      </c>
      <c r="AF6" s="10" t="s">
        <v>69</v>
      </c>
      <c r="AG6" s="10" t="s">
        <v>70</v>
      </c>
      <c r="AH6" s="10" t="s">
        <v>99</v>
      </c>
      <c r="AI6" s="10" t="s">
        <v>100</v>
      </c>
      <c r="AJ6" s="10" t="s">
        <v>101</v>
      </c>
      <c r="AK6" s="10" t="s">
        <v>130</v>
      </c>
      <c r="AL6" s="10" t="s">
        <v>64</v>
      </c>
      <c r="AM6" s="10" t="s">
        <v>131</v>
      </c>
    </row>
    <row r="7" spans="1:39" ht="20.100000000000001" customHeight="1" x14ac:dyDescent="0.25">
      <c r="A7" s="7" t="s">
        <v>132</v>
      </c>
      <c r="B7" s="8" t="s">
        <v>133</v>
      </c>
      <c r="C7" s="8" t="s">
        <v>134</v>
      </c>
      <c r="D7" s="8">
        <v>2024</v>
      </c>
      <c r="E7" s="8" t="s">
        <v>135</v>
      </c>
      <c r="F7" s="8" t="s">
        <v>136</v>
      </c>
      <c r="G7" s="8" t="s">
        <v>137</v>
      </c>
      <c r="H7" s="8" t="s">
        <v>82</v>
      </c>
      <c r="I7" s="8" t="s">
        <v>83</v>
      </c>
      <c r="J7" s="8" t="s">
        <v>138</v>
      </c>
      <c r="K7" s="8" t="s">
        <v>139</v>
      </c>
      <c r="L7" s="8" t="s">
        <v>55</v>
      </c>
      <c r="M7" s="8" t="s">
        <v>140</v>
      </c>
      <c r="N7" s="8" t="s">
        <v>141</v>
      </c>
      <c r="O7" s="8">
        <v>1000</v>
      </c>
      <c r="P7" s="8" t="s">
        <v>142</v>
      </c>
      <c r="Q7" s="8" t="s">
        <v>143</v>
      </c>
      <c r="R7" s="8" t="s">
        <v>144</v>
      </c>
      <c r="S7" s="8" t="s">
        <v>145</v>
      </c>
      <c r="T7" s="8" t="s">
        <v>91</v>
      </c>
      <c r="U7" s="8">
        <v>16.5</v>
      </c>
      <c r="V7" s="8">
        <v>18</v>
      </c>
      <c r="W7" s="8" t="s">
        <v>89</v>
      </c>
      <c r="X7" s="8" t="s">
        <v>146</v>
      </c>
      <c r="Y7" s="8" t="s">
        <v>147</v>
      </c>
      <c r="Z7" s="8" t="s">
        <v>127</v>
      </c>
      <c r="AA7" s="8"/>
      <c r="AB7" s="8" t="s">
        <v>128</v>
      </c>
      <c r="AC7" s="8" t="s">
        <v>64</v>
      </c>
      <c r="AD7" s="8" t="s">
        <v>128</v>
      </c>
      <c r="AE7" s="8" t="s">
        <v>96</v>
      </c>
      <c r="AF7" s="8" t="s">
        <v>114</v>
      </c>
      <c r="AG7" s="8" t="s">
        <v>115</v>
      </c>
      <c r="AH7" s="8" t="s">
        <v>148</v>
      </c>
      <c r="AI7" s="8" t="s">
        <v>100</v>
      </c>
      <c r="AJ7" s="8" t="s">
        <v>149</v>
      </c>
      <c r="AK7" s="8" t="s">
        <v>150</v>
      </c>
      <c r="AL7" s="8" t="s">
        <v>64</v>
      </c>
      <c r="AM7" s="8" t="s">
        <v>151</v>
      </c>
    </row>
    <row r="8" spans="1:39" ht="20.100000000000001" customHeight="1" x14ac:dyDescent="0.25">
      <c r="A8" s="9" t="s">
        <v>152</v>
      </c>
      <c r="B8" s="10" t="s">
        <v>153</v>
      </c>
      <c r="C8" s="10" t="s">
        <v>154</v>
      </c>
      <c r="D8" s="10">
        <v>2019</v>
      </c>
      <c r="E8" s="10" t="s">
        <v>155</v>
      </c>
      <c r="F8" s="10" t="s">
        <v>123</v>
      </c>
      <c r="G8" s="10" t="s">
        <v>156</v>
      </c>
      <c r="H8" s="10" t="s">
        <v>157</v>
      </c>
      <c r="I8" s="10" t="s">
        <v>158</v>
      </c>
      <c r="J8" s="10" t="s">
        <v>84</v>
      </c>
      <c r="K8" s="10" t="s">
        <v>159</v>
      </c>
      <c r="L8" s="10" t="s">
        <v>160</v>
      </c>
      <c r="M8" s="10" t="s">
        <v>161</v>
      </c>
      <c r="N8" s="10" t="s">
        <v>127</v>
      </c>
      <c r="O8" s="10"/>
      <c r="P8" s="10" t="s">
        <v>128</v>
      </c>
      <c r="Q8" s="10" t="s">
        <v>162</v>
      </c>
      <c r="R8" s="10" t="s">
        <v>90</v>
      </c>
      <c r="S8" s="10" t="s">
        <v>90</v>
      </c>
      <c r="T8" s="10" t="s">
        <v>62</v>
      </c>
      <c r="U8" s="10">
        <v>-0.5</v>
      </c>
      <c r="V8" s="10">
        <v>0.5</v>
      </c>
      <c r="W8" s="10" t="s">
        <v>163</v>
      </c>
      <c r="X8" s="10" t="s">
        <v>64</v>
      </c>
      <c r="Y8" s="10" t="s">
        <v>93</v>
      </c>
      <c r="Z8" s="10" t="s">
        <v>164</v>
      </c>
      <c r="AA8" s="10"/>
      <c r="AB8" s="10" t="s">
        <v>165</v>
      </c>
      <c r="AC8" s="10" t="s">
        <v>64</v>
      </c>
      <c r="AD8" s="10" t="s">
        <v>166</v>
      </c>
      <c r="AE8" s="10" t="s">
        <v>167</v>
      </c>
      <c r="AF8" s="10" t="s">
        <v>69</v>
      </c>
      <c r="AG8" s="10" t="s">
        <v>70</v>
      </c>
      <c r="AH8" s="10" t="s">
        <v>71</v>
      </c>
      <c r="AI8" s="10" t="s">
        <v>100</v>
      </c>
      <c r="AJ8" s="10" t="s">
        <v>101</v>
      </c>
      <c r="AK8" s="10" t="s">
        <v>117</v>
      </c>
      <c r="AL8" s="10" t="s">
        <v>64</v>
      </c>
      <c r="AM8" s="10" t="s">
        <v>168</v>
      </c>
    </row>
    <row r="9" spans="1:39" ht="20.100000000000001" customHeight="1" x14ac:dyDescent="0.25">
      <c r="A9" s="7" t="s">
        <v>169</v>
      </c>
      <c r="B9" s="8" t="s">
        <v>170</v>
      </c>
      <c r="C9" s="8" t="s">
        <v>171</v>
      </c>
      <c r="D9" s="8">
        <v>2021</v>
      </c>
      <c r="E9" s="8" t="s">
        <v>172</v>
      </c>
      <c r="F9" s="8" t="s">
        <v>173</v>
      </c>
      <c r="G9" s="8" t="s">
        <v>156</v>
      </c>
      <c r="H9" s="8" t="s">
        <v>51</v>
      </c>
      <c r="I9" s="8" t="s">
        <v>174</v>
      </c>
      <c r="J9" s="8" t="s">
        <v>175</v>
      </c>
      <c r="K9" s="8" t="s">
        <v>176</v>
      </c>
      <c r="L9" s="8" t="s">
        <v>86</v>
      </c>
      <c r="M9" s="8" t="s">
        <v>89</v>
      </c>
      <c r="N9" s="8" t="s">
        <v>57</v>
      </c>
      <c r="O9" s="8"/>
      <c r="P9" s="8" t="s">
        <v>128</v>
      </c>
      <c r="Q9" s="8" t="s">
        <v>89</v>
      </c>
      <c r="R9" s="8" t="s">
        <v>90</v>
      </c>
      <c r="S9" s="8" t="s">
        <v>90</v>
      </c>
      <c r="T9" s="8" t="s">
        <v>91</v>
      </c>
      <c r="U9" s="8"/>
      <c r="V9" s="8"/>
      <c r="W9" s="8" t="s">
        <v>89</v>
      </c>
      <c r="X9" s="8" t="s">
        <v>64</v>
      </c>
      <c r="Y9" s="8" t="s">
        <v>58</v>
      </c>
      <c r="Z9" s="8" t="s">
        <v>127</v>
      </c>
      <c r="AA9" s="8"/>
      <c r="AB9" s="8" t="s">
        <v>128</v>
      </c>
      <c r="AC9" s="8" t="s">
        <v>64</v>
      </c>
      <c r="AD9" s="8" t="s">
        <v>128</v>
      </c>
      <c r="AE9" s="8" t="s">
        <v>96</v>
      </c>
      <c r="AF9" s="8" t="s">
        <v>114</v>
      </c>
      <c r="AG9" s="8" t="s">
        <v>115</v>
      </c>
      <c r="AH9" s="8" t="s">
        <v>164</v>
      </c>
      <c r="AI9" s="8" t="s">
        <v>100</v>
      </c>
      <c r="AJ9" s="8" t="s">
        <v>89</v>
      </c>
      <c r="AK9" s="8" t="s">
        <v>90</v>
      </c>
      <c r="AL9" s="8" t="s">
        <v>128</v>
      </c>
      <c r="AM9" s="8" t="s">
        <v>177</v>
      </c>
    </row>
    <row r="10" spans="1:39" ht="20.100000000000001" customHeight="1" x14ac:dyDescent="0.25">
      <c r="A10" s="9" t="s">
        <v>178</v>
      </c>
      <c r="B10" s="10" t="s">
        <v>179</v>
      </c>
      <c r="C10" s="10" t="s">
        <v>180</v>
      </c>
      <c r="D10" s="10">
        <v>2025</v>
      </c>
      <c r="E10" s="10" t="s">
        <v>181</v>
      </c>
      <c r="F10" s="10" t="s">
        <v>49</v>
      </c>
      <c r="G10" s="10" t="s">
        <v>156</v>
      </c>
      <c r="H10" s="10" t="s">
        <v>82</v>
      </c>
      <c r="I10" s="10" t="s">
        <v>182</v>
      </c>
      <c r="J10" s="10" t="s">
        <v>53</v>
      </c>
      <c r="K10" s="10" t="s">
        <v>183</v>
      </c>
      <c r="L10" s="10" t="s">
        <v>55</v>
      </c>
      <c r="M10" s="10" t="s">
        <v>89</v>
      </c>
      <c r="N10" s="10" t="s">
        <v>57</v>
      </c>
      <c r="O10" s="10"/>
      <c r="P10" s="10" t="s">
        <v>88</v>
      </c>
      <c r="Q10" s="10" t="s">
        <v>89</v>
      </c>
      <c r="R10" s="10" t="s">
        <v>184</v>
      </c>
      <c r="S10" s="10" t="s">
        <v>145</v>
      </c>
      <c r="T10" s="10" t="s">
        <v>127</v>
      </c>
      <c r="U10" s="10"/>
      <c r="V10" s="10"/>
      <c r="W10" s="10" t="s">
        <v>89</v>
      </c>
      <c r="X10" s="10" t="s">
        <v>64</v>
      </c>
      <c r="Y10" s="10" t="s">
        <v>58</v>
      </c>
      <c r="Z10" s="10" t="s">
        <v>127</v>
      </c>
      <c r="AA10" s="10"/>
      <c r="AB10" s="10" t="s">
        <v>128</v>
      </c>
      <c r="AC10" s="10" t="s">
        <v>185</v>
      </c>
      <c r="AD10" s="10" t="s">
        <v>186</v>
      </c>
      <c r="AE10" s="10" t="s">
        <v>96</v>
      </c>
      <c r="AF10" s="10" t="s">
        <v>97</v>
      </c>
      <c r="AG10" s="10" t="s">
        <v>98</v>
      </c>
      <c r="AH10" s="10" t="s">
        <v>187</v>
      </c>
      <c r="AI10" s="10" t="s">
        <v>100</v>
      </c>
      <c r="AJ10" s="10" t="s">
        <v>73</v>
      </c>
      <c r="AK10" s="10" t="s">
        <v>188</v>
      </c>
      <c r="AL10" s="10" t="s">
        <v>64</v>
      </c>
      <c r="AM10" s="10" t="s">
        <v>189</v>
      </c>
    </row>
    <row r="11" spans="1:39" ht="20.100000000000001" customHeight="1" x14ac:dyDescent="0.25">
      <c r="A11" s="7" t="s">
        <v>190</v>
      </c>
      <c r="B11" s="8" t="s">
        <v>191</v>
      </c>
      <c r="C11" s="8" t="s">
        <v>171</v>
      </c>
      <c r="D11" s="8">
        <v>2015</v>
      </c>
      <c r="E11" s="8" t="s">
        <v>192</v>
      </c>
      <c r="F11" s="8" t="s">
        <v>173</v>
      </c>
      <c r="G11" s="8" t="s">
        <v>156</v>
      </c>
      <c r="H11" s="8" t="s">
        <v>51</v>
      </c>
      <c r="I11" s="8" t="s">
        <v>174</v>
      </c>
      <c r="J11" s="8" t="s">
        <v>175</v>
      </c>
      <c r="K11" s="8" t="s">
        <v>193</v>
      </c>
      <c r="L11" s="8" t="s">
        <v>86</v>
      </c>
      <c r="M11" s="8" t="s">
        <v>89</v>
      </c>
      <c r="N11" s="8" t="s">
        <v>57</v>
      </c>
      <c r="O11" s="8"/>
      <c r="P11" s="8" t="s">
        <v>128</v>
      </c>
      <c r="Q11" s="8" t="s">
        <v>89</v>
      </c>
      <c r="R11" s="8" t="s">
        <v>194</v>
      </c>
      <c r="S11" s="8" t="s">
        <v>90</v>
      </c>
      <c r="T11" s="8" t="s">
        <v>91</v>
      </c>
      <c r="U11" s="8"/>
      <c r="V11" s="8"/>
      <c r="W11" s="8" t="s">
        <v>89</v>
      </c>
      <c r="X11" s="8" t="s">
        <v>64</v>
      </c>
      <c r="Y11" s="8" t="s">
        <v>58</v>
      </c>
      <c r="Z11" s="8" t="s">
        <v>127</v>
      </c>
      <c r="AA11" s="8"/>
      <c r="AB11" s="8" t="s">
        <v>128</v>
      </c>
      <c r="AC11" s="8" t="s">
        <v>64</v>
      </c>
      <c r="AD11" s="8" t="s">
        <v>128</v>
      </c>
      <c r="AE11" s="8" t="s">
        <v>96</v>
      </c>
      <c r="AF11" s="8" t="s">
        <v>114</v>
      </c>
      <c r="AG11" s="8" t="s">
        <v>115</v>
      </c>
      <c r="AH11" s="8" t="s">
        <v>164</v>
      </c>
      <c r="AI11" s="8" t="s">
        <v>100</v>
      </c>
      <c r="AJ11" s="8" t="s">
        <v>89</v>
      </c>
      <c r="AK11" s="8" t="s">
        <v>90</v>
      </c>
      <c r="AL11" s="8" t="s">
        <v>128</v>
      </c>
      <c r="AM11" s="8" t="s">
        <v>195</v>
      </c>
    </row>
    <row r="12" spans="1:39" ht="20.100000000000001" customHeight="1" x14ac:dyDescent="0.25">
      <c r="A12" s="9" t="s">
        <v>196</v>
      </c>
      <c r="B12" s="10" t="s">
        <v>197</v>
      </c>
      <c r="C12" s="10" t="s">
        <v>198</v>
      </c>
      <c r="D12" s="10">
        <v>2025</v>
      </c>
      <c r="E12" s="10" t="s">
        <v>199</v>
      </c>
      <c r="F12" s="10" t="s">
        <v>136</v>
      </c>
      <c r="G12" s="10" t="s">
        <v>137</v>
      </c>
      <c r="H12" s="10" t="s">
        <v>82</v>
      </c>
      <c r="I12" s="10" t="s">
        <v>200</v>
      </c>
      <c r="J12" s="10" t="s">
        <v>84</v>
      </c>
      <c r="K12" s="10" t="s">
        <v>201</v>
      </c>
      <c r="L12" s="10" t="s">
        <v>202</v>
      </c>
      <c r="M12" s="10" t="s">
        <v>203</v>
      </c>
      <c r="N12" s="10" t="s">
        <v>141</v>
      </c>
      <c r="O12" s="10">
        <v>800</v>
      </c>
      <c r="P12" s="10" t="s">
        <v>88</v>
      </c>
      <c r="Q12" s="10" t="s">
        <v>204</v>
      </c>
      <c r="R12" s="10" t="s">
        <v>205</v>
      </c>
      <c r="S12" s="10" t="s">
        <v>61</v>
      </c>
      <c r="T12" s="10" t="s">
        <v>206</v>
      </c>
      <c r="U12" s="10"/>
      <c r="V12" s="10"/>
      <c r="W12" s="10" t="s">
        <v>126</v>
      </c>
      <c r="X12" s="10" t="s">
        <v>64</v>
      </c>
      <c r="Y12" s="10" t="s">
        <v>93</v>
      </c>
      <c r="Z12" s="10" t="s">
        <v>207</v>
      </c>
      <c r="AA12" s="10"/>
      <c r="AB12" s="10" t="s">
        <v>165</v>
      </c>
      <c r="AC12" s="10" t="s">
        <v>208</v>
      </c>
      <c r="AD12" s="10" t="s">
        <v>209</v>
      </c>
      <c r="AE12" s="10" t="s">
        <v>96</v>
      </c>
      <c r="AF12" s="10" t="s">
        <v>97</v>
      </c>
      <c r="AG12" s="10" t="s">
        <v>70</v>
      </c>
      <c r="AH12" s="10" t="s">
        <v>164</v>
      </c>
      <c r="AI12" s="10" t="s">
        <v>100</v>
      </c>
      <c r="AJ12" s="10" t="s">
        <v>101</v>
      </c>
      <c r="AK12" s="10" t="s">
        <v>210</v>
      </c>
      <c r="AL12" s="10" t="s">
        <v>64</v>
      </c>
      <c r="AM12" s="10" t="s">
        <v>211</v>
      </c>
    </row>
    <row r="13" spans="1:39" ht="20.100000000000001" customHeight="1" x14ac:dyDescent="0.25">
      <c r="A13" s="7" t="s">
        <v>212</v>
      </c>
      <c r="B13" s="8" t="s">
        <v>213</v>
      </c>
      <c r="C13" s="8" t="s">
        <v>214</v>
      </c>
      <c r="D13" s="8">
        <v>2019</v>
      </c>
      <c r="E13" s="8" t="s">
        <v>215</v>
      </c>
      <c r="F13" s="8" t="s">
        <v>216</v>
      </c>
      <c r="G13" s="8" t="s">
        <v>81</v>
      </c>
      <c r="H13" s="8" t="s">
        <v>164</v>
      </c>
      <c r="I13" s="8" t="s">
        <v>83</v>
      </c>
      <c r="J13" s="8" t="s">
        <v>84</v>
      </c>
      <c r="K13" s="8" t="s">
        <v>217</v>
      </c>
      <c r="L13" s="8" t="s">
        <v>86</v>
      </c>
      <c r="M13" s="8" t="s">
        <v>218</v>
      </c>
      <c r="N13" s="8" t="s">
        <v>127</v>
      </c>
      <c r="O13" s="8"/>
      <c r="P13" s="8" t="s">
        <v>128</v>
      </c>
      <c r="Q13" s="8"/>
      <c r="R13" s="8"/>
      <c r="S13" s="8" t="s">
        <v>90</v>
      </c>
      <c r="T13" s="8" t="s">
        <v>91</v>
      </c>
      <c r="U13" s="8">
        <v>20</v>
      </c>
      <c r="V13" s="8">
        <v>25</v>
      </c>
      <c r="W13" s="8" t="s">
        <v>92</v>
      </c>
      <c r="X13" s="8" t="s">
        <v>64</v>
      </c>
      <c r="Y13" s="8" t="s">
        <v>93</v>
      </c>
      <c r="Z13" s="8" t="s">
        <v>112</v>
      </c>
      <c r="AA13" s="8">
        <v>48</v>
      </c>
      <c r="AB13" s="8" t="s">
        <v>66</v>
      </c>
      <c r="AC13" s="8" t="s">
        <v>64</v>
      </c>
      <c r="AD13" s="8" t="s">
        <v>95</v>
      </c>
      <c r="AE13" s="8" t="s">
        <v>68</v>
      </c>
      <c r="AF13" s="8" t="s">
        <v>219</v>
      </c>
      <c r="AG13" s="8" t="s">
        <v>70</v>
      </c>
      <c r="AH13" s="8" t="s">
        <v>148</v>
      </c>
      <c r="AI13" s="8" t="s">
        <v>100</v>
      </c>
      <c r="AJ13" s="8" t="s">
        <v>101</v>
      </c>
      <c r="AK13" s="8" t="s">
        <v>220</v>
      </c>
      <c r="AL13" s="8" t="s">
        <v>221</v>
      </c>
      <c r="AM13" s="8" t="s">
        <v>222</v>
      </c>
    </row>
    <row r="14" spans="1:39" ht="20.100000000000001" customHeight="1" x14ac:dyDescent="0.25">
      <c r="A14" s="9" t="s">
        <v>223</v>
      </c>
      <c r="B14" s="10" t="s">
        <v>224</v>
      </c>
      <c r="C14" s="10" t="s">
        <v>225</v>
      </c>
      <c r="D14" s="10">
        <v>2023</v>
      </c>
      <c r="E14" s="10" t="s">
        <v>226</v>
      </c>
      <c r="F14" s="10" t="s">
        <v>49</v>
      </c>
      <c r="G14" s="10" t="s">
        <v>81</v>
      </c>
      <c r="H14" s="10" t="s">
        <v>157</v>
      </c>
      <c r="I14" s="10" t="s">
        <v>227</v>
      </c>
      <c r="J14" s="10" t="s">
        <v>53</v>
      </c>
      <c r="K14" s="10" t="s">
        <v>228</v>
      </c>
      <c r="L14" s="10" t="s">
        <v>55</v>
      </c>
      <c r="M14" s="10" t="s">
        <v>229</v>
      </c>
      <c r="N14" s="10" t="s">
        <v>141</v>
      </c>
      <c r="O14" s="10">
        <v>800</v>
      </c>
      <c r="P14" s="10" t="s">
        <v>88</v>
      </c>
      <c r="Q14" s="10" t="s">
        <v>230</v>
      </c>
      <c r="R14" s="10" t="s">
        <v>231</v>
      </c>
      <c r="S14" s="10" t="s">
        <v>145</v>
      </c>
      <c r="T14" s="10" t="s">
        <v>91</v>
      </c>
      <c r="U14" s="10">
        <v>19</v>
      </c>
      <c r="V14" s="10">
        <v>26</v>
      </c>
      <c r="W14" s="10" t="s">
        <v>63</v>
      </c>
      <c r="X14" s="10" t="s">
        <v>64</v>
      </c>
      <c r="Y14" s="10" t="s">
        <v>147</v>
      </c>
      <c r="Z14" s="10" t="s">
        <v>127</v>
      </c>
      <c r="AA14" s="10"/>
      <c r="AB14" s="10" t="s">
        <v>66</v>
      </c>
      <c r="AC14" s="10" t="s">
        <v>64</v>
      </c>
      <c r="AD14" s="10" t="s">
        <v>232</v>
      </c>
      <c r="AE14" s="10" t="s">
        <v>96</v>
      </c>
      <c r="AF14" s="10" t="s">
        <v>219</v>
      </c>
      <c r="AG14" s="10" t="s">
        <v>70</v>
      </c>
      <c r="AH14" s="10" t="s">
        <v>148</v>
      </c>
      <c r="AI14" s="10" t="s">
        <v>72</v>
      </c>
      <c r="AJ14" s="10" t="s">
        <v>73</v>
      </c>
      <c r="AK14" s="10" t="s">
        <v>233</v>
      </c>
      <c r="AL14" s="10" t="s">
        <v>64</v>
      </c>
      <c r="AM14" s="10" t="s">
        <v>234</v>
      </c>
    </row>
    <row r="15" spans="1:39" ht="20.100000000000001" customHeight="1" x14ac:dyDescent="0.25">
      <c r="A15" s="7" t="s">
        <v>235</v>
      </c>
      <c r="B15" s="8" t="s">
        <v>236</v>
      </c>
      <c r="C15" s="8" t="s">
        <v>237</v>
      </c>
      <c r="D15" s="8">
        <v>2025</v>
      </c>
      <c r="E15" s="8"/>
      <c r="F15" s="8" t="s">
        <v>238</v>
      </c>
      <c r="G15" s="8" t="s">
        <v>50</v>
      </c>
      <c r="H15" s="8" t="s">
        <v>107</v>
      </c>
      <c r="I15" s="8" t="s">
        <v>239</v>
      </c>
      <c r="J15" s="8" t="s">
        <v>53</v>
      </c>
      <c r="K15" s="8" t="s">
        <v>240</v>
      </c>
      <c r="L15" s="8" t="s">
        <v>55</v>
      </c>
      <c r="M15" s="8" t="s">
        <v>241</v>
      </c>
      <c r="N15" s="8" t="s">
        <v>127</v>
      </c>
      <c r="O15" s="8"/>
      <c r="P15" s="8" t="s">
        <v>128</v>
      </c>
      <c r="Q15" s="8"/>
      <c r="R15" s="8" t="s">
        <v>242</v>
      </c>
      <c r="S15" s="8" t="s">
        <v>145</v>
      </c>
      <c r="T15" s="8" t="s">
        <v>243</v>
      </c>
      <c r="U15" s="8">
        <v>22.2</v>
      </c>
      <c r="V15" s="8">
        <v>28.2</v>
      </c>
      <c r="W15" s="8" t="s">
        <v>63</v>
      </c>
      <c r="X15" s="8" t="s">
        <v>146</v>
      </c>
      <c r="Y15" s="8" t="s">
        <v>111</v>
      </c>
      <c r="Z15" s="8" t="s">
        <v>112</v>
      </c>
      <c r="AA15" s="8">
        <v>95</v>
      </c>
      <c r="AB15" s="8" t="s">
        <v>66</v>
      </c>
      <c r="AC15" s="8" t="s">
        <v>64</v>
      </c>
      <c r="AD15" s="8" t="s">
        <v>244</v>
      </c>
      <c r="AE15" s="8" t="s">
        <v>68</v>
      </c>
      <c r="AF15" s="8" t="s">
        <v>114</v>
      </c>
      <c r="AG15" s="8" t="s">
        <v>115</v>
      </c>
      <c r="AH15" s="8" t="s">
        <v>71</v>
      </c>
      <c r="AI15" s="8" t="s">
        <v>100</v>
      </c>
      <c r="AJ15" s="8" t="s">
        <v>73</v>
      </c>
      <c r="AK15" s="8" t="s">
        <v>245</v>
      </c>
      <c r="AL15" s="8" t="s">
        <v>64</v>
      </c>
      <c r="AM15" s="8" t="s">
        <v>246</v>
      </c>
    </row>
    <row r="16" spans="1:39" ht="20.100000000000001" customHeight="1" x14ac:dyDescent="0.25">
      <c r="A16" s="9" t="s">
        <v>247</v>
      </c>
      <c r="B16" s="10" t="s">
        <v>248</v>
      </c>
      <c r="C16" s="10" t="s">
        <v>249</v>
      </c>
      <c r="D16" s="10">
        <v>2016</v>
      </c>
      <c r="E16" s="10" t="s">
        <v>250</v>
      </c>
      <c r="F16" s="10" t="s">
        <v>251</v>
      </c>
      <c r="G16" s="10" t="s">
        <v>50</v>
      </c>
      <c r="H16" s="10" t="s">
        <v>107</v>
      </c>
      <c r="I16" s="10" t="s">
        <v>239</v>
      </c>
      <c r="J16" s="10" t="s">
        <v>84</v>
      </c>
      <c r="K16" s="10" t="s">
        <v>252</v>
      </c>
      <c r="L16" s="10" t="s">
        <v>86</v>
      </c>
      <c r="M16" s="10" t="s">
        <v>89</v>
      </c>
      <c r="N16" s="10" t="s">
        <v>57</v>
      </c>
      <c r="O16" s="10"/>
      <c r="P16" s="10" t="s">
        <v>88</v>
      </c>
      <c r="Q16" s="10" t="s">
        <v>253</v>
      </c>
      <c r="R16" s="10"/>
      <c r="S16" s="10" t="s">
        <v>90</v>
      </c>
      <c r="T16" s="10" t="s">
        <v>91</v>
      </c>
      <c r="U16" s="10"/>
      <c r="V16" s="10"/>
      <c r="W16" s="10" t="s">
        <v>126</v>
      </c>
      <c r="X16" s="10" t="s">
        <v>64</v>
      </c>
      <c r="Y16" s="10" t="s">
        <v>111</v>
      </c>
      <c r="Z16" s="10" t="s">
        <v>127</v>
      </c>
      <c r="AA16" s="10"/>
      <c r="AB16" s="10" t="s">
        <v>66</v>
      </c>
      <c r="AC16" s="10" t="s">
        <v>64</v>
      </c>
      <c r="AD16" s="10" t="s">
        <v>129</v>
      </c>
      <c r="AE16" s="10" t="s">
        <v>96</v>
      </c>
      <c r="AF16" s="10" t="s">
        <v>97</v>
      </c>
      <c r="AG16" s="10" t="s">
        <v>98</v>
      </c>
      <c r="AH16" s="10" t="s">
        <v>187</v>
      </c>
      <c r="AI16" s="10" t="s">
        <v>100</v>
      </c>
      <c r="AJ16" s="10" t="s">
        <v>101</v>
      </c>
      <c r="AK16" s="10" t="s">
        <v>130</v>
      </c>
      <c r="AL16" s="10" t="s">
        <v>64</v>
      </c>
      <c r="AM16" s="10" t="s">
        <v>254</v>
      </c>
    </row>
    <row r="17" spans="1:39" ht="20.100000000000001" customHeight="1" x14ac:dyDescent="0.25">
      <c r="A17" s="7" t="s">
        <v>255</v>
      </c>
      <c r="B17" s="8" t="s">
        <v>256</v>
      </c>
      <c r="C17" s="8" t="s">
        <v>257</v>
      </c>
      <c r="D17" s="8">
        <v>2021</v>
      </c>
      <c r="E17" s="8" t="s">
        <v>258</v>
      </c>
      <c r="F17" s="8" t="s">
        <v>259</v>
      </c>
      <c r="G17" s="8" t="s">
        <v>260</v>
      </c>
      <c r="H17" s="8" t="s">
        <v>157</v>
      </c>
      <c r="I17" s="8" t="s">
        <v>83</v>
      </c>
      <c r="J17" s="8" t="s">
        <v>138</v>
      </c>
      <c r="K17" s="8" t="s">
        <v>261</v>
      </c>
      <c r="L17" s="8" t="s">
        <v>55</v>
      </c>
      <c r="M17" s="8" t="s">
        <v>262</v>
      </c>
      <c r="N17" s="8" t="s">
        <v>57</v>
      </c>
      <c r="O17" s="8"/>
      <c r="P17" s="8" t="s">
        <v>142</v>
      </c>
      <c r="Q17" s="8"/>
      <c r="R17" s="8" t="s">
        <v>263</v>
      </c>
      <c r="S17" s="8" t="s">
        <v>145</v>
      </c>
      <c r="T17" s="8" t="s">
        <v>91</v>
      </c>
      <c r="U17" s="8"/>
      <c r="V17" s="8"/>
      <c r="W17" s="8" t="s">
        <v>89</v>
      </c>
      <c r="X17" s="8" t="s">
        <v>64</v>
      </c>
      <c r="Y17" s="8" t="s">
        <v>111</v>
      </c>
      <c r="Z17" s="8" t="s">
        <v>127</v>
      </c>
      <c r="AA17" s="8"/>
      <c r="AB17" s="8" t="s">
        <v>128</v>
      </c>
      <c r="AC17" s="8" t="s">
        <v>64</v>
      </c>
      <c r="AD17" s="8" t="s">
        <v>264</v>
      </c>
      <c r="AE17" s="8" t="s">
        <v>96</v>
      </c>
      <c r="AF17" s="8" t="s">
        <v>114</v>
      </c>
      <c r="AG17" s="8" t="s">
        <v>115</v>
      </c>
      <c r="AH17" s="8" t="s">
        <v>164</v>
      </c>
      <c r="AI17" s="8" t="s">
        <v>100</v>
      </c>
      <c r="AJ17" s="8" t="s">
        <v>149</v>
      </c>
      <c r="AK17" s="8" t="s">
        <v>265</v>
      </c>
      <c r="AL17" s="8" t="s">
        <v>128</v>
      </c>
      <c r="AM17" s="8" t="s">
        <v>266</v>
      </c>
    </row>
    <row r="18" spans="1:39" ht="20.100000000000001" customHeight="1" x14ac:dyDescent="0.25">
      <c r="A18" s="9" t="s">
        <v>267</v>
      </c>
      <c r="B18" s="10" t="s">
        <v>268</v>
      </c>
      <c r="C18" s="10" t="s">
        <v>269</v>
      </c>
      <c r="D18" s="10">
        <v>2023</v>
      </c>
      <c r="E18" s="10" t="s">
        <v>270</v>
      </c>
      <c r="F18" s="10" t="s">
        <v>271</v>
      </c>
      <c r="G18" s="10" t="s">
        <v>137</v>
      </c>
      <c r="H18" s="10" t="s">
        <v>82</v>
      </c>
      <c r="I18" s="10" t="s">
        <v>182</v>
      </c>
      <c r="J18" s="10" t="s">
        <v>53</v>
      </c>
      <c r="K18" s="10" t="s">
        <v>272</v>
      </c>
      <c r="L18" s="10" t="s">
        <v>55</v>
      </c>
      <c r="M18" s="10" t="s">
        <v>273</v>
      </c>
      <c r="N18" s="10" t="s">
        <v>141</v>
      </c>
      <c r="O18" s="10">
        <v>1000</v>
      </c>
      <c r="P18" s="10" t="s">
        <v>58</v>
      </c>
      <c r="Q18" s="10" t="s">
        <v>274</v>
      </c>
      <c r="R18" s="10" t="s">
        <v>275</v>
      </c>
      <c r="S18" s="10" t="s">
        <v>145</v>
      </c>
      <c r="T18" s="10" t="s">
        <v>62</v>
      </c>
      <c r="U18" s="10">
        <v>19</v>
      </c>
      <c r="V18" s="10">
        <v>21</v>
      </c>
      <c r="W18" s="10" t="s">
        <v>92</v>
      </c>
      <c r="X18" s="10" t="s">
        <v>276</v>
      </c>
      <c r="Y18" s="10" t="s">
        <v>147</v>
      </c>
      <c r="Z18" s="10" t="s">
        <v>65</v>
      </c>
      <c r="AA18" s="10">
        <v>15</v>
      </c>
      <c r="AB18" s="10" t="s">
        <v>66</v>
      </c>
      <c r="AC18" s="10" t="s">
        <v>64</v>
      </c>
      <c r="AD18" s="10" t="s">
        <v>277</v>
      </c>
      <c r="AE18" s="10" t="s">
        <v>68</v>
      </c>
      <c r="AF18" s="10" t="s">
        <v>278</v>
      </c>
      <c r="AG18" s="10" t="s">
        <v>70</v>
      </c>
      <c r="AH18" s="10" t="s">
        <v>148</v>
      </c>
      <c r="AI18" s="10" t="s">
        <v>72</v>
      </c>
      <c r="AJ18" s="10" t="s">
        <v>73</v>
      </c>
      <c r="AK18" s="10" t="s">
        <v>279</v>
      </c>
      <c r="AL18" s="10" t="s">
        <v>221</v>
      </c>
      <c r="AM18" s="10" t="s">
        <v>280</v>
      </c>
    </row>
    <row r="19" spans="1:39" ht="20.100000000000001" customHeight="1" x14ac:dyDescent="0.25">
      <c r="A19" s="7" t="s">
        <v>281</v>
      </c>
      <c r="B19" s="8" t="s">
        <v>282</v>
      </c>
      <c r="C19" s="8" t="s">
        <v>283</v>
      </c>
      <c r="D19" s="8">
        <v>2024</v>
      </c>
      <c r="E19" s="8" t="s">
        <v>284</v>
      </c>
      <c r="F19" s="8" t="s">
        <v>285</v>
      </c>
      <c r="G19" s="8" t="s">
        <v>137</v>
      </c>
      <c r="H19" s="8" t="s">
        <v>164</v>
      </c>
      <c r="I19" s="8" t="s">
        <v>286</v>
      </c>
      <c r="J19" s="8" t="s">
        <v>175</v>
      </c>
      <c r="K19" s="8" t="s">
        <v>287</v>
      </c>
      <c r="L19" s="8" t="s">
        <v>86</v>
      </c>
      <c r="M19" s="8" t="s">
        <v>89</v>
      </c>
      <c r="N19" s="8" t="s">
        <v>141</v>
      </c>
      <c r="O19" s="8">
        <v>1000</v>
      </c>
      <c r="P19" s="8" t="s">
        <v>128</v>
      </c>
      <c r="Q19" s="8" t="s">
        <v>288</v>
      </c>
      <c r="R19" s="8" t="s">
        <v>289</v>
      </c>
      <c r="S19" s="8" t="s">
        <v>90</v>
      </c>
      <c r="T19" s="8" t="s">
        <v>62</v>
      </c>
      <c r="U19" s="8">
        <v>-0.5</v>
      </c>
      <c r="V19" s="8">
        <v>0.5</v>
      </c>
      <c r="W19" s="8" t="s">
        <v>63</v>
      </c>
      <c r="X19" s="8" t="s">
        <v>64</v>
      </c>
      <c r="Y19" s="8" t="s">
        <v>93</v>
      </c>
      <c r="Z19" s="8" t="s">
        <v>112</v>
      </c>
      <c r="AA19" s="8">
        <v>40</v>
      </c>
      <c r="AB19" s="8" t="s">
        <v>66</v>
      </c>
      <c r="AC19" s="8" t="s">
        <v>64</v>
      </c>
      <c r="AD19" s="8" t="s">
        <v>95</v>
      </c>
      <c r="AE19" s="8" t="s">
        <v>68</v>
      </c>
      <c r="AF19" s="8" t="s">
        <v>114</v>
      </c>
      <c r="AG19" s="8" t="s">
        <v>115</v>
      </c>
      <c r="AH19" s="8" t="s">
        <v>164</v>
      </c>
      <c r="AI19" s="8" t="s">
        <v>100</v>
      </c>
      <c r="AJ19" s="8" t="s">
        <v>89</v>
      </c>
      <c r="AK19" s="8" t="s">
        <v>290</v>
      </c>
      <c r="AL19" s="8" t="s">
        <v>64</v>
      </c>
      <c r="AM19" s="8" t="s">
        <v>291</v>
      </c>
    </row>
    <row r="20" spans="1:39" ht="20.100000000000001" customHeight="1" x14ac:dyDescent="0.25">
      <c r="A20" s="9" t="s">
        <v>292</v>
      </c>
      <c r="B20" s="10" t="s">
        <v>293</v>
      </c>
      <c r="C20" s="10" t="s">
        <v>294</v>
      </c>
      <c r="D20" s="10">
        <v>2023</v>
      </c>
      <c r="E20" s="10" t="s">
        <v>295</v>
      </c>
      <c r="F20" s="10" t="s">
        <v>285</v>
      </c>
      <c r="G20" s="10" t="s">
        <v>137</v>
      </c>
      <c r="H20" s="10" t="s">
        <v>82</v>
      </c>
      <c r="I20" s="10" t="s">
        <v>296</v>
      </c>
      <c r="J20" s="10" t="s">
        <v>84</v>
      </c>
      <c r="K20" s="10" t="s">
        <v>297</v>
      </c>
      <c r="L20" s="10" t="s">
        <v>86</v>
      </c>
      <c r="M20" s="10" t="s">
        <v>298</v>
      </c>
      <c r="N20" s="10" t="s">
        <v>141</v>
      </c>
      <c r="O20" s="10">
        <v>1200</v>
      </c>
      <c r="P20" s="10" t="s">
        <v>88</v>
      </c>
      <c r="Q20" s="10" t="s">
        <v>299</v>
      </c>
      <c r="R20" s="10" t="s">
        <v>300</v>
      </c>
      <c r="S20" s="10" t="s">
        <v>145</v>
      </c>
      <c r="T20" s="10" t="s">
        <v>62</v>
      </c>
      <c r="U20" s="10">
        <v>-0.7</v>
      </c>
      <c r="V20" s="10">
        <v>0.7</v>
      </c>
      <c r="W20" s="10" t="s">
        <v>301</v>
      </c>
      <c r="X20" s="10" t="s">
        <v>64</v>
      </c>
      <c r="Y20" s="10" t="s">
        <v>93</v>
      </c>
      <c r="Z20" s="10" t="s">
        <v>65</v>
      </c>
      <c r="AA20" s="10"/>
      <c r="AB20" s="10" t="s">
        <v>66</v>
      </c>
      <c r="AC20" s="10" t="s">
        <v>64</v>
      </c>
      <c r="AD20" s="10" t="s">
        <v>302</v>
      </c>
      <c r="AE20" s="10" t="s">
        <v>96</v>
      </c>
      <c r="AF20" s="10" t="s">
        <v>303</v>
      </c>
      <c r="AG20" s="10" t="s">
        <v>98</v>
      </c>
      <c r="AH20" s="10" t="s">
        <v>148</v>
      </c>
      <c r="AI20" s="10" t="s">
        <v>100</v>
      </c>
      <c r="AJ20" s="10" t="s">
        <v>101</v>
      </c>
      <c r="AK20" s="10" t="s">
        <v>304</v>
      </c>
      <c r="AL20" s="10" t="s">
        <v>64</v>
      </c>
      <c r="AM20" s="10" t="s">
        <v>305</v>
      </c>
    </row>
    <row r="21" spans="1:39" ht="20.100000000000001" customHeight="1" x14ac:dyDescent="0.25">
      <c r="A21" s="7" t="s">
        <v>306</v>
      </c>
      <c r="B21" s="8" t="s">
        <v>307</v>
      </c>
      <c r="C21" s="8" t="s">
        <v>308</v>
      </c>
      <c r="D21" s="8">
        <v>2025</v>
      </c>
      <c r="E21" s="8" t="s">
        <v>309</v>
      </c>
      <c r="F21" s="8" t="s">
        <v>310</v>
      </c>
      <c r="G21" s="8" t="s">
        <v>81</v>
      </c>
      <c r="H21" s="8" t="s">
        <v>82</v>
      </c>
      <c r="I21" s="8" t="s">
        <v>83</v>
      </c>
      <c r="J21" s="8" t="s">
        <v>53</v>
      </c>
      <c r="K21" s="8" t="s">
        <v>311</v>
      </c>
      <c r="L21" s="8" t="s">
        <v>55</v>
      </c>
      <c r="M21" s="8" t="s">
        <v>312</v>
      </c>
      <c r="N21" s="8" t="s">
        <v>141</v>
      </c>
      <c r="O21" s="8">
        <v>1000</v>
      </c>
      <c r="P21" s="8" t="s">
        <v>58</v>
      </c>
      <c r="Q21" s="8" t="s">
        <v>313</v>
      </c>
      <c r="R21" s="8" t="s">
        <v>314</v>
      </c>
      <c r="S21" s="8" t="s">
        <v>145</v>
      </c>
      <c r="T21" s="8" t="s">
        <v>62</v>
      </c>
      <c r="U21" s="8">
        <v>-0.5</v>
      </c>
      <c r="V21" s="8">
        <v>0.5</v>
      </c>
      <c r="W21" s="8" t="s">
        <v>63</v>
      </c>
      <c r="X21" s="8" t="s">
        <v>64</v>
      </c>
      <c r="Y21" s="8" t="s">
        <v>58</v>
      </c>
      <c r="Z21" s="8" t="s">
        <v>127</v>
      </c>
      <c r="AA21" s="8"/>
      <c r="AB21" s="8" t="s">
        <v>128</v>
      </c>
      <c r="AC21" s="8" t="s">
        <v>64</v>
      </c>
      <c r="AD21" s="8" t="s">
        <v>315</v>
      </c>
      <c r="AE21" s="8" t="s">
        <v>96</v>
      </c>
      <c r="AF21" s="8" t="s">
        <v>97</v>
      </c>
      <c r="AG21" s="8" t="s">
        <v>115</v>
      </c>
      <c r="AH21" s="8" t="s">
        <v>164</v>
      </c>
      <c r="AI21" s="8" t="s">
        <v>100</v>
      </c>
      <c r="AJ21" s="8" t="s">
        <v>73</v>
      </c>
      <c r="AK21" s="8" t="s">
        <v>316</v>
      </c>
      <c r="AL21" s="8" t="s">
        <v>64</v>
      </c>
      <c r="AM21" s="8" t="s">
        <v>317</v>
      </c>
    </row>
    <row r="22" spans="1:39" ht="20.100000000000001" customHeight="1" x14ac:dyDescent="0.25">
      <c r="A22" s="9" t="s">
        <v>318</v>
      </c>
      <c r="B22" s="10" t="s">
        <v>319</v>
      </c>
      <c r="C22" s="10" t="s">
        <v>320</v>
      </c>
      <c r="D22" s="10">
        <v>2024</v>
      </c>
      <c r="E22" s="10" t="s">
        <v>321</v>
      </c>
      <c r="F22" s="10" t="s">
        <v>322</v>
      </c>
      <c r="G22" s="10" t="s">
        <v>50</v>
      </c>
      <c r="H22" s="10" t="s">
        <v>164</v>
      </c>
      <c r="I22" s="10" t="s">
        <v>158</v>
      </c>
      <c r="J22" s="10" t="s">
        <v>84</v>
      </c>
      <c r="K22" s="10" t="s">
        <v>323</v>
      </c>
      <c r="L22" s="10" t="s">
        <v>55</v>
      </c>
      <c r="M22" s="10" t="s">
        <v>324</v>
      </c>
      <c r="N22" s="10" t="s">
        <v>57</v>
      </c>
      <c r="O22" s="10"/>
      <c r="P22" s="10" t="s">
        <v>88</v>
      </c>
      <c r="Q22" s="10" t="s">
        <v>89</v>
      </c>
      <c r="R22" s="10" t="s">
        <v>325</v>
      </c>
      <c r="S22" s="10" t="s">
        <v>90</v>
      </c>
      <c r="T22" s="10" t="s">
        <v>91</v>
      </c>
      <c r="U22" s="10"/>
      <c r="V22" s="10"/>
      <c r="W22" s="10" t="s">
        <v>89</v>
      </c>
      <c r="X22" s="10" t="s">
        <v>64</v>
      </c>
      <c r="Y22" s="10" t="s">
        <v>111</v>
      </c>
      <c r="Z22" s="10" t="s">
        <v>127</v>
      </c>
      <c r="AA22" s="10"/>
      <c r="AB22" s="10" t="s">
        <v>128</v>
      </c>
      <c r="AC22" s="10" t="s">
        <v>64</v>
      </c>
      <c r="AD22" s="10" t="s">
        <v>186</v>
      </c>
      <c r="AE22" s="10" t="s">
        <v>96</v>
      </c>
      <c r="AF22" s="10" t="s">
        <v>326</v>
      </c>
      <c r="AG22" s="10" t="s">
        <v>115</v>
      </c>
      <c r="AH22" s="10" t="s">
        <v>116</v>
      </c>
      <c r="AI22" s="10" t="s">
        <v>72</v>
      </c>
      <c r="AJ22" s="10" t="s">
        <v>101</v>
      </c>
      <c r="AK22" s="10" t="s">
        <v>327</v>
      </c>
      <c r="AL22" s="10" t="s">
        <v>64</v>
      </c>
      <c r="AM22" s="10" t="s">
        <v>328</v>
      </c>
    </row>
    <row r="23" spans="1:39" ht="20.100000000000001" customHeight="1" x14ac:dyDescent="0.25">
      <c r="A23" s="7" t="s">
        <v>329</v>
      </c>
      <c r="B23" s="8" t="s">
        <v>330</v>
      </c>
      <c r="C23" s="8" t="s">
        <v>331</v>
      </c>
      <c r="D23" s="8">
        <v>2025</v>
      </c>
      <c r="E23" s="8" t="s">
        <v>332</v>
      </c>
      <c r="F23" s="8" t="s">
        <v>238</v>
      </c>
      <c r="G23" s="8" t="s">
        <v>81</v>
      </c>
      <c r="H23" s="8" t="s">
        <v>82</v>
      </c>
      <c r="I23" s="8" t="s">
        <v>333</v>
      </c>
      <c r="J23" s="8" t="s">
        <v>53</v>
      </c>
      <c r="K23" s="8" t="s">
        <v>334</v>
      </c>
      <c r="L23" s="8" t="s">
        <v>149</v>
      </c>
      <c r="M23" s="8" t="s">
        <v>335</v>
      </c>
      <c r="N23" s="8" t="s">
        <v>141</v>
      </c>
      <c r="O23" s="8">
        <v>800</v>
      </c>
      <c r="P23" s="8" t="s">
        <v>142</v>
      </c>
      <c r="Q23" s="8" t="s">
        <v>336</v>
      </c>
      <c r="R23" s="8" t="s">
        <v>337</v>
      </c>
      <c r="S23" s="8" t="s">
        <v>145</v>
      </c>
      <c r="T23" s="8" t="s">
        <v>91</v>
      </c>
      <c r="U23" s="8">
        <v>21</v>
      </c>
      <c r="V23" s="8">
        <v>23</v>
      </c>
      <c r="W23" s="8" t="s">
        <v>92</v>
      </c>
      <c r="X23" s="8" t="s">
        <v>64</v>
      </c>
      <c r="Y23" s="8" t="s">
        <v>93</v>
      </c>
      <c r="Z23" s="8" t="s">
        <v>112</v>
      </c>
      <c r="AA23" s="8">
        <v>50</v>
      </c>
      <c r="AB23" s="8" t="s">
        <v>66</v>
      </c>
      <c r="AC23" s="8" t="s">
        <v>64</v>
      </c>
      <c r="AD23" s="8" t="s">
        <v>338</v>
      </c>
      <c r="AE23" s="8" t="s">
        <v>339</v>
      </c>
      <c r="AF23" s="8" t="s">
        <v>278</v>
      </c>
      <c r="AG23" s="8" t="s">
        <v>115</v>
      </c>
      <c r="AH23" s="8" t="s">
        <v>340</v>
      </c>
      <c r="AI23" s="8" t="s">
        <v>100</v>
      </c>
      <c r="AJ23" s="8" t="s">
        <v>149</v>
      </c>
      <c r="AK23" s="8" t="s">
        <v>341</v>
      </c>
      <c r="AL23" s="8" t="s">
        <v>64</v>
      </c>
      <c r="AM23" s="8" t="s">
        <v>342</v>
      </c>
    </row>
    <row r="24" spans="1:39" ht="20.100000000000001" customHeight="1" x14ac:dyDescent="0.25">
      <c r="A24" s="9" t="s">
        <v>343</v>
      </c>
      <c r="B24" s="10" t="s">
        <v>344</v>
      </c>
      <c r="C24" s="10" t="s">
        <v>345</v>
      </c>
      <c r="D24" s="10">
        <v>2022</v>
      </c>
      <c r="E24" s="10" t="s">
        <v>346</v>
      </c>
      <c r="F24" s="10" t="s">
        <v>285</v>
      </c>
      <c r="G24" s="10" t="s">
        <v>50</v>
      </c>
      <c r="H24" s="10" t="s">
        <v>82</v>
      </c>
      <c r="I24" s="10" t="s">
        <v>296</v>
      </c>
      <c r="J24" s="10" t="s">
        <v>84</v>
      </c>
      <c r="K24" s="10" t="s">
        <v>297</v>
      </c>
      <c r="L24" s="10" t="s">
        <v>55</v>
      </c>
      <c r="M24" s="10" t="s">
        <v>347</v>
      </c>
      <c r="N24" s="10" t="s">
        <v>141</v>
      </c>
      <c r="O24" s="10">
        <v>1200</v>
      </c>
      <c r="P24" s="10" t="s">
        <v>88</v>
      </c>
      <c r="Q24" s="10" t="s">
        <v>348</v>
      </c>
      <c r="R24" s="10" t="s">
        <v>349</v>
      </c>
      <c r="S24" s="10" t="s">
        <v>145</v>
      </c>
      <c r="T24" s="10" t="s">
        <v>91</v>
      </c>
      <c r="U24" s="10"/>
      <c r="V24" s="10"/>
      <c r="W24" s="10" t="s">
        <v>126</v>
      </c>
      <c r="X24" s="10" t="s">
        <v>64</v>
      </c>
      <c r="Y24" s="10" t="s">
        <v>93</v>
      </c>
      <c r="Z24" s="10" t="s">
        <v>65</v>
      </c>
      <c r="AA24" s="10"/>
      <c r="AB24" s="10" t="s">
        <v>66</v>
      </c>
      <c r="AC24" s="10" t="s">
        <v>64</v>
      </c>
      <c r="AD24" s="10" t="s">
        <v>350</v>
      </c>
      <c r="AE24" s="10" t="s">
        <v>167</v>
      </c>
      <c r="AF24" s="10" t="s">
        <v>69</v>
      </c>
      <c r="AG24" s="10" t="s">
        <v>70</v>
      </c>
      <c r="AH24" s="10" t="s">
        <v>116</v>
      </c>
      <c r="AI24" s="10" t="s">
        <v>100</v>
      </c>
      <c r="AJ24" s="10" t="s">
        <v>101</v>
      </c>
      <c r="AK24" s="10" t="s">
        <v>351</v>
      </c>
      <c r="AL24" s="10" t="s">
        <v>64</v>
      </c>
      <c r="AM24" s="10" t="s">
        <v>352</v>
      </c>
    </row>
    <row r="25" spans="1:39" ht="20.100000000000001" customHeight="1" x14ac:dyDescent="0.25">
      <c r="A25" s="7" t="s">
        <v>353</v>
      </c>
      <c r="B25" s="8" t="s">
        <v>354</v>
      </c>
      <c r="C25" s="8" t="s">
        <v>355</v>
      </c>
      <c r="D25" s="8">
        <v>2020</v>
      </c>
      <c r="E25" s="8" t="s">
        <v>356</v>
      </c>
      <c r="F25" s="8" t="s">
        <v>49</v>
      </c>
      <c r="G25" s="8" t="s">
        <v>50</v>
      </c>
      <c r="H25" s="8" t="s">
        <v>164</v>
      </c>
      <c r="I25" s="8" t="s">
        <v>227</v>
      </c>
      <c r="J25" s="8" t="s">
        <v>84</v>
      </c>
      <c r="K25" s="8" t="s">
        <v>357</v>
      </c>
      <c r="L25" s="8" t="s">
        <v>86</v>
      </c>
      <c r="M25" s="8" t="s">
        <v>358</v>
      </c>
      <c r="N25" s="8" t="s">
        <v>127</v>
      </c>
      <c r="O25" s="8"/>
      <c r="P25" s="8" t="s">
        <v>128</v>
      </c>
      <c r="Q25" s="8" t="s">
        <v>359</v>
      </c>
      <c r="R25" s="8" t="s">
        <v>360</v>
      </c>
      <c r="S25" s="8" t="s">
        <v>61</v>
      </c>
      <c r="T25" s="8" t="s">
        <v>91</v>
      </c>
      <c r="U25" s="8"/>
      <c r="V25" s="8"/>
      <c r="W25" s="8" t="s">
        <v>126</v>
      </c>
      <c r="X25" s="8" t="s">
        <v>64</v>
      </c>
      <c r="Y25" s="8" t="s">
        <v>111</v>
      </c>
      <c r="Z25" s="8" t="s">
        <v>112</v>
      </c>
      <c r="AA25" s="8"/>
      <c r="AB25" s="8" t="s">
        <v>94</v>
      </c>
      <c r="AC25" s="8" t="s">
        <v>64</v>
      </c>
      <c r="AD25" s="8" t="s">
        <v>361</v>
      </c>
      <c r="AE25" s="8" t="s">
        <v>96</v>
      </c>
      <c r="AF25" s="8" t="s">
        <v>97</v>
      </c>
      <c r="AG25" s="8" t="s">
        <v>115</v>
      </c>
      <c r="AH25" s="8" t="s">
        <v>99</v>
      </c>
      <c r="AI25" s="8" t="s">
        <v>100</v>
      </c>
      <c r="AJ25" s="8" t="s">
        <v>101</v>
      </c>
      <c r="AK25" s="8" t="s">
        <v>362</v>
      </c>
      <c r="AL25" s="8" t="s">
        <v>64</v>
      </c>
      <c r="AM25" s="8" t="s">
        <v>363</v>
      </c>
    </row>
    <row r="26" spans="1:39" ht="20.100000000000001" customHeight="1" x14ac:dyDescent="0.25">
      <c r="A26" s="9" t="s">
        <v>364</v>
      </c>
      <c r="B26" s="10" t="s">
        <v>365</v>
      </c>
      <c r="C26" s="10" t="s">
        <v>366</v>
      </c>
      <c r="D26" s="10">
        <v>2023</v>
      </c>
      <c r="E26" s="10" t="s">
        <v>367</v>
      </c>
      <c r="F26" s="10" t="s">
        <v>49</v>
      </c>
      <c r="G26" s="10" t="s">
        <v>81</v>
      </c>
      <c r="H26" s="10" t="s">
        <v>157</v>
      </c>
      <c r="I26" s="10" t="s">
        <v>158</v>
      </c>
      <c r="J26" s="10" t="s">
        <v>84</v>
      </c>
      <c r="K26" s="10" t="s">
        <v>368</v>
      </c>
      <c r="L26" s="10" t="s">
        <v>86</v>
      </c>
      <c r="M26" s="10" t="s">
        <v>369</v>
      </c>
      <c r="N26" s="10" t="s">
        <v>127</v>
      </c>
      <c r="O26" s="10"/>
      <c r="P26" s="10" t="s">
        <v>128</v>
      </c>
      <c r="Q26" s="10" t="s">
        <v>370</v>
      </c>
      <c r="R26" s="10" t="s">
        <v>90</v>
      </c>
      <c r="S26" s="10" t="s">
        <v>90</v>
      </c>
      <c r="T26" s="10" t="s">
        <v>91</v>
      </c>
      <c r="U26" s="10">
        <v>20</v>
      </c>
      <c r="V26" s="10">
        <v>28</v>
      </c>
      <c r="W26" s="10" t="s">
        <v>92</v>
      </c>
      <c r="X26" s="10" t="s">
        <v>64</v>
      </c>
      <c r="Y26" s="10" t="s">
        <v>111</v>
      </c>
      <c r="Z26" s="10" t="s">
        <v>112</v>
      </c>
      <c r="AA26" s="10">
        <v>59.77</v>
      </c>
      <c r="AB26" s="10" t="s">
        <v>66</v>
      </c>
      <c r="AC26" s="10" t="s">
        <v>64</v>
      </c>
      <c r="AD26" s="10" t="s">
        <v>371</v>
      </c>
      <c r="AE26" s="10" t="s">
        <v>68</v>
      </c>
      <c r="AF26" s="10" t="s">
        <v>69</v>
      </c>
      <c r="AG26" s="10" t="s">
        <v>70</v>
      </c>
      <c r="AH26" s="10" t="s">
        <v>148</v>
      </c>
      <c r="AI26" s="10" t="s">
        <v>100</v>
      </c>
      <c r="AJ26" s="10" t="s">
        <v>101</v>
      </c>
      <c r="AK26" s="10" t="s">
        <v>372</v>
      </c>
      <c r="AL26" s="10" t="s">
        <v>64</v>
      </c>
      <c r="AM26" s="10" t="s">
        <v>373</v>
      </c>
    </row>
    <row r="27" spans="1:39" ht="20.100000000000001" customHeight="1" x14ac:dyDescent="0.25">
      <c r="A27" s="7" t="s">
        <v>374</v>
      </c>
      <c r="B27" s="8" t="s">
        <v>375</v>
      </c>
      <c r="C27" s="8" t="s">
        <v>376</v>
      </c>
      <c r="D27" s="8">
        <v>2024</v>
      </c>
      <c r="E27" s="8" t="s">
        <v>377</v>
      </c>
      <c r="F27" s="8" t="s">
        <v>49</v>
      </c>
      <c r="G27" s="8" t="s">
        <v>137</v>
      </c>
      <c r="H27" s="8" t="s">
        <v>378</v>
      </c>
      <c r="I27" s="8" t="s">
        <v>379</v>
      </c>
      <c r="J27" s="8" t="s">
        <v>53</v>
      </c>
      <c r="K27" s="8" t="s">
        <v>380</v>
      </c>
      <c r="L27" s="8" t="s">
        <v>55</v>
      </c>
      <c r="M27" s="8" t="s">
        <v>381</v>
      </c>
      <c r="N27" s="8" t="s">
        <v>141</v>
      </c>
      <c r="O27" s="8">
        <v>918</v>
      </c>
      <c r="P27" s="8" t="s">
        <v>58</v>
      </c>
      <c r="Q27" s="8" t="s">
        <v>382</v>
      </c>
      <c r="R27" s="8" t="s">
        <v>117</v>
      </c>
      <c r="S27" s="8" t="s">
        <v>145</v>
      </c>
      <c r="T27" s="8" t="s">
        <v>91</v>
      </c>
      <c r="U27" s="8">
        <v>17</v>
      </c>
      <c r="V27" s="8">
        <v>27</v>
      </c>
      <c r="W27" s="8" t="s">
        <v>92</v>
      </c>
      <c r="X27" s="8" t="s">
        <v>64</v>
      </c>
      <c r="Y27" s="8" t="s">
        <v>58</v>
      </c>
      <c r="Z27" s="8" t="s">
        <v>65</v>
      </c>
      <c r="AA27" s="8">
        <v>40</v>
      </c>
      <c r="AB27" s="8" t="s">
        <v>66</v>
      </c>
      <c r="AC27" s="8" t="s">
        <v>64</v>
      </c>
      <c r="AD27" s="8" t="s">
        <v>383</v>
      </c>
      <c r="AE27" s="8" t="s">
        <v>339</v>
      </c>
      <c r="AF27" s="8" t="s">
        <v>260</v>
      </c>
      <c r="AG27" s="8" t="s">
        <v>98</v>
      </c>
      <c r="AH27" s="8" t="s">
        <v>340</v>
      </c>
      <c r="AI27" s="8" t="s">
        <v>100</v>
      </c>
      <c r="AJ27" s="8" t="s">
        <v>73</v>
      </c>
      <c r="AK27" s="8" t="s">
        <v>384</v>
      </c>
      <c r="AL27" s="8" t="s">
        <v>64</v>
      </c>
      <c r="AM27" s="8" t="s">
        <v>385</v>
      </c>
    </row>
    <row r="28" spans="1:39" ht="20.100000000000001" customHeight="1" x14ac:dyDescent="0.25">
      <c r="A28" s="9" t="s">
        <v>386</v>
      </c>
      <c r="B28" s="10" t="s">
        <v>387</v>
      </c>
      <c r="C28" s="10" t="s">
        <v>388</v>
      </c>
      <c r="D28" s="10">
        <v>2023</v>
      </c>
      <c r="E28" s="10" t="s">
        <v>389</v>
      </c>
      <c r="F28" s="10" t="s">
        <v>390</v>
      </c>
      <c r="G28" s="10" t="s">
        <v>137</v>
      </c>
      <c r="H28" s="10" t="s">
        <v>82</v>
      </c>
      <c r="I28" s="10" t="s">
        <v>83</v>
      </c>
      <c r="J28" s="10" t="s">
        <v>84</v>
      </c>
      <c r="K28" s="10" t="s">
        <v>391</v>
      </c>
      <c r="L28" s="10" t="s">
        <v>55</v>
      </c>
      <c r="M28" s="10" t="s">
        <v>392</v>
      </c>
      <c r="N28" s="10" t="s">
        <v>260</v>
      </c>
      <c r="O28" s="10"/>
      <c r="P28" s="10" t="s">
        <v>88</v>
      </c>
      <c r="Q28" s="10" t="s">
        <v>393</v>
      </c>
      <c r="R28" s="10" t="s">
        <v>394</v>
      </c>
      <c r="S28" s="10" t="s">
        <v>90</v>
      </c>
      <c r="T28" s="10" t="s">
        <v>62</v>
      </c>
      <c r="U28" s="10">
        <v>-0.5</v>
      </c>
      <c r="V28" s="10">
        <v>0.5</v>
      </c>
      <c r="W28" s="10" t="s">
        <v>163</v>
      </c>
      <c r="X28" s="10" t="s">
        <v>64</v>
      </c>
      <c r="Y28" s="10" t="s">
        <v>111</v>
      </c>
      <c r="Z28" s="10" t="s">
        <v>127</v>
      </c>
      <c r="AA28" s="10"/>
      <c r="AB28" s="10" t="s">
        <v>66</v>
      </c>
      <c r="AC28" s="10" t="s">
        <v>64</v>
      </c>
      <c r="AD28" s="10" t="s">
        <v>395</v>
      </c>
      <c r="AE28" s="10" t="s">
        <v>68</v>
      </c>
      <c r="AF28" s="10" t="s">
        <v>97</v>
      </c>
      <c r="AG28" s="10" t="s">
        <v>115</v>
      </c>
      <c r="AH28" s="10" t="s">
        <v>116</v>
      </c>
      <c r="AI28" s="10" t="s">
        <v>100</v>
      </c>
      <c r="AJ28" s="10" t="s">
        <v>101</v>
      </c>
      <c r="AK28" s="10" t="s">
        <v>396</v>
      </c>
      <c r="AL28" s="10" t="s">
        <v>64</v>
      </c>
      <c r="AM28" s="10" t="s">
        <v>397</v>
      </c>
    </row>
    <row r="29" spans="1:39" ht="20.100000000000001" customHeight="1" x14ac:dyDescent="0.25">
      <c r="A29" s="7" t="s">
        <v>398</v>
      </c>
      <c r="B29" s="8" t="s">
        <v>399</v>
      </c>
      <c r="C29" s="8" t="s">
        <v>400</v>
      </c>
      <c r="D29" s="8">
        <v>2021</v>
      </c>
      <c r="E29" s="8" t="s">
        <v>401</v>
      </c>
      <c r="F29" s="8" t="s">
        <v>136</v>
      </c>
      <c r="G29" s="8" t="s">
        <v>50</v>
      </c>
      <c r="H29" s="8" t="s">
        <v>82</v>
      </c>
      <c r="I29" s="8" t="s">
        <v>296</v>
      </c>
      <c r="J29" s="8" t="s">
        <v>84</v>
      </c>
      <c r="K29" s="8" t="s">
        <v>402</v>
      </c>
      <c r="L29" s="8" t="s">
        <v>55</v>
      </c>
      <c r="M29" s="8" t="s">
        <v>403</v>
      </c>
      <c r="N29" s="8" t="s">
        <v>127</v>
      </c>
      <c r="O29" s="8"/>
      <c r="P29" s="8" t="s">
        <v>128</v>
      </c>
      <c r="Q29" s="8"/>
      <c r="R29" s="8"/>
      <c r="S29" s="8" t="s">
        <v>90</v>
      </c>
      <c r="T29" s="8" t="s">
        <v>206</v>
      </c>
      <c r="U29" s="8"/>
      <c r="V29" s="8"/>
      <c r="W29" s="8" t="s">
        <v>301</v>
      </c>
      <c r="X29" s="8" t="s">
        <v>64</v>
      </c>
      <c r="Y29" s="8" t="s">
        <v>58</v>
      </c>
      <c r="Z29" s="8" t="s">
        <v>65</v>
      </c>
      <c r="AA29" s="8"/>
      <c r="AB29" s="8" t="s">
        <v>66</v>
      </c>
      <c r="AC29" s="8" t="s">
        <v>208</v>
      </c>
      <c r="AD29" s="8" t="s">
        <v>404</v>
      </c>
      <c r="AE29" s="8" t="s">
        <v>96</v>
      </c>
      <c r="AF29" s="8" t="s">
        <v>164</v>
      </c>
      <c r="AG29" s="8" t="s">
        <v>70</v>
      </c>
      <c r="AH29" s="8" t="s">
        <v>148</v>
      </c>
      <c r="AI29" s="8" t="s">
        <v>100</v>
      </c>
      <c r="AJ29" s="8" t="s">
        <v>101</v>
      </c>
      <c r="AK29" s="8" t="s">
        <v>405</v>
      </c>
      <c r="AL29" s="8" t="s">
        <v>64</v>
      </c>
      <c r="AM29" s="8" t="s">
        <v>406</v>
      </c>
    </row>
    <row r="30" spans="1:39" ht="20.100000000000001" customHeight="1" x14ac:dyDescent="0.25">
      <c r="A30" s="9" t="s">
        <v>407</v>
      </c>
      <c r="B30" s="10" t="s">
        <v>408</v>
      </c>
      <c r="C30" s="10" t="s">
        <v>409</v>
      </c>
      <c r="D30" s="10">
        <v>2020</v>
      </c>
      <c r="E30" s="10" t="s">
        <v>410</v>
      </c>
      <c r="F30" s="10" t="s">
        <v>285</v>
      </c>
      <c r="G30" s="10" t="s">
        <v>50</v>
      </c>
      <c r="H30" s="10" t="s">
        <v>82</v>
      </c>
      <c r="I30" s="10" t="s">
        <v>296</v>
      </c>
      <c r="J30" s="10" t="s">
        <v>84</v>
      </c>
      <c r="K30" s="10" t="s">
        <v>411</v>
      </c>
      <c r="L30" s="10" t="s">
        <v>86</v>
      </c>
      <c r="M30" s="10" t="s">
        <v>412</v>
      </c>
      <c r="N30" s="10" t="s">
        <v>127</v>
      </c>
      <c r="O30" s="10"/>
      <c r="P30" s="10" t="s">
        <v>128</v>
      </c>
      <c r="Q30" s="10"/>
      <c r="R30" s="10" t="s">
        <v>413</v>
      </c>
      <c r="S30" s="10" t="s">
        <v>90</v>
      </c>
      <c r="T30" s="10" t="s">
        <v>206</v>
      </c>
      <c r="U30" s="10"/>
      <c r="V30" s="10"/>
      <c r="W30" s="10" t="s">
        <v>301</v>
      </c>
      <c r="X30" s="10" t="s">
        <v>64</v>
      </c>
      <c r="Y30" s="10" t="s">
        <v>58</v>
      </c>
      <c r="Z30" s="10" t="s">
        <v>164</v>
      </c>
      <c r="AA30" s="10"/>
      <c r="AB30" s="10" t="s">
        <v>165</v>
      </c>
      <c r="AC30" s="10" t="s">
        <v>208</v>
      </c>
      <c r="AD30" s="10" t="s">
        <v>414</v>
      </c>
      <c r="AE30" s="10" t="s">
        <v>96</v>
      </c>
      <c r="AF30" s="10" t="s">
        <v>69</v>
      </c>
      <c r="AG30" s="10" t="s">
        <v>70</v>
      </c>
      <c r="AH30" s="10" t="s">
        <v>148</v>
      </c>
      <c r="AI30" s="10" t="s">
        <v>100</v>
      </c>
      <c r="AJ30" s="10" t="s">
        <v>101</v>
      </c>
      <c r="AK30" s="10" t="s">
        <v>415</v>
      </c>
      <c r="AL30" s="10" t="s">
        <v>64</v>
      </c>
      <c r="AM30" s="10" t="s">
        <v>416</v>
      </c>
    </row>
    <row r="31" spans="1:39" ht="20.100000000000001" customHeight="1" x14ac:dyDescent="0.25">
      <c r="A31" s="7" t="s">
        <v>417</v>
      </c>
      <c r="B31" s="8" t="s">
        <v>418</v>
      </c>
      <c r="C31" s="8" t="s">
        <v>419</v>
      </c>
      <c r="D31" s="8">
        <v>2025</v>
      </c>
      <c r="E31" s="8" t="s">
        <v>420</v>
      </c>
      <c r="F31" s="8" t="s">
        <v>271</v>
      </c>
      <c r="G31" s="8" t="s">
        <v>137</v>
      </c>
      <c r="H31" s="8" t="s">
        <v>378</v>
      </c>
      <c r="I31" s="8" t="s">
        <v>379</v>
      </c>
      <c r="J31" s="8" t="s">
        <v>84</v>
      </c>
      <c r="K31" s="8" t="s">
        <v>421</v>
      </c>
      <c r="L31" s="8" t="s">
        <v>86</v>
      </c>
      <c r="M31" s="8" t="s">
        <v>422</v>
      </c>
      <c r="N31" s="8" t="s">
        <v>141</v>
      </c>
      <c r="O31" s="8">
        <v>900</v>
      </c>
      <c r="P31" s="8" t="s">
        <v>88</v>
      </c>
      <c r="Q31" s="8" t="s">
        <v>423</v>
      </c>
      <c r="R31" s="8" t="s">
        <v>424</v>
      </c>
      <c r="S31" s="8" t="s">
        <v>61</v>
      </c>
      <c r="T31" s="8" t="s">
        <v>91</v>
      </c>
      <c r="U31" s="8">
        <v>21</v>
      </c>
      <c r="V31" s="8">
        <v>25</v>
      </c>
      <c r="W31" s="8" t="s">
        <v>92</v>
      </c>
      <c r="X31" s="8" t="s">
        <v>64</v>
      </c>
      <c r="Y31" s="8" t="s">
        <v>93</v>
      </c>
      <c r="Z31" s="8" t="s">
        <v>207</v>
      </c>
      <c r="AA31" s="8">
        <v>80</v>
      </c>
      <c r="AB31" s="8" t="s">
        <v>66</v>
      </c>
      <c r="AC31" s="8" t="s">
        <v>64</v>
      </c>
      <c r="AD31" s="8" t="s">
        <v>425</v>
      </c>
      <c r="AE31" s="8" t="s">
        <v>164</v>
      </c>
      <c r="AF31" s="8" t="s">
        <v>97</v>
      </c>
      <c r="AG31" s="8" t="s">
        <v>115</v>
      </c>
      <c r="AH31" s="8" t="s">
        <v>116</v>
      </c>
      <c r="AI31" s="8" t="s">
        <v>100</v>
      </c>
      <c r="AJ31" s="8" t="s">
        <v>101</v>
      </c>
      <c r="AK31" s="8" t="s">
        <v>426</v>
      </c>
      <c r="AL31" s="8" t="s">
        <v>64</v>
      </c>
      <c r="AM31" s="8" t="s">
        <v>427</v>
      </c>
    </row>
    <row r="32" spans="1:39" ht="20.100000000000001" customHeight="1" x14ac:dyDescent="0.25">
      <c r="A32" s="9" t="s">
        <v>428</v>
      </c>
      <c r="B32" s="10" t="s">
        <v>429</v>
      </c>
      <c r="C32" s="10" t="s">
        <v>430</v>
      </c>
      <c r="D32" s="10">
        <v>2024</v>
      </c>
      <c r="E32" s="10" t="s">
        <v>431</v>
      </c>
      <c r="F32" s="10" t="s">
        <v>432</v>
      </c>
      <c r="G32" s="10" t="s">
        <v>137</v>
      </c>
      <c r="H32" s="10" t="s">
        <v>82</v>
      </c>
      <c r="I32" s="10" t="s">
        <v>83</v>
      </c>
      <c r="J32" s="10" t="s">
        <v>53</v>
      </c>
      <c r="K32" s="10" t="s">
        <v>433</v>
      </c>
      <c r="L32" s="10" t="s">
        <v>55</v>
      </c>
      <c r="M32" s="10" t="s">
        <v>434</v>
      </c>
      <c r="N32" s="10" t="s">
        <v>141</v>
      </c>
      <c r="O32" s="10">
        <v>1000</v>
      </c>
      <c r="P32" s="10" t="s">
        <v>58</v>
      </c>
      <c r="Q32" s="10" t="s">
        <v>435</v>
      </c>
      <c r="R32" s="10" t="s">
        <v>436</v>
      </c>
      <c r="S32" s="10" t="s">
        <v>145</v>
      </c>
      <c r="T32" s="10" t="s">
        <v>243</v>
      </c>
      <c r="U32" s="10">
        <v>-0.5</v>
      </c>
      <c r="V32" s="10">
        <v>0.5</v>
      </c>
      <c r="W32" s="10" t="s">
        <v>89</v>
      </c>
      <c r="X32" s="10" t="s">
        <v>146</v>
      </c>
      <c r="Y32" s="10" t="s">
        <v>147</v>
      </c>
      <c r="Z32" s="10" t="s">
        <v>127</v>
      </c>
      <c r="AA32" s="10"/>
      <c r="AB32" s="10" t="s">
        <v>128</v>
      </c>
      <c r="AC32" s="10" t="s">
        <v>64</v>
      </c>
      <c r="AD32" s="10" t="s">
        <v>437</v>
      </c>
      <c r="AE32" s="10" t="s">
        <v>96</v>
      </c>
      <c r="AF32" s="10" t="s">
        <v>114</v>
      </c>
      <c r="AG32" s="10" t="s">
        <v>115</v>
      </c>
      <c r="AH32" s="10" t="s">
        <v>148</v>
      </c>
      <c r="AI32" s="10" t="s">
        <v>100</v>
      </c>
      <c r="AJ32" s="10" t="s">
        <v>73</v>
      </c>
      <c r="AK32" s="10" t="s">
        <v>438</v>
      </c>
      <c r="AL32" s="10" t="s">
        <v>64</v>
      </c>
      <c r="AM32" s="10" t="s">
        <v>439</v>
      </c>
    </row>
    <row r="33" spans="1:39" ht="20.100000000000001" customHeight="1" x14ac:dyDescent="0.25">
      <c r="A33" s="7" t="s">
        <v>440</v>
      </c>
      <c r="B33" s="8" t="s">
        <v>441</v>
      </c>
      <c r="C33" s="8" t="s">
        <v>442</v>
      </c>
      <c r="D33" s="8">
        <v>2025</v>
      </c>
      <c r="E33" s="8" t="s">
        <v>443</v>
      </c>
      <c r="F33" s="8" t="s">
        <v>444</v>
      </c>
      <c r="G33" s="8" t="s">
        <v>260</v>
      </c>
      <c r="H33" s="8" t="s">
        <v>445</v>
      </c>
      <c r="I33" s="8" t="s">
        <v>446</v>
      </c>
      <c r="J33" s="8" t="s">
        <v>53</v>
      </c>
      <c r="K33" s="8" t="s">
        <v>447</v>
      </c>
      <c r="L33" s="8" t="s">
        <v>55</v>
      </c>
      <c r="M33" s="8" t="s">
        <v>448</v>
      </c>
      <c r="N33" s="8" t="s">
        <v>141</v>
      </c>
      <c r="O33" s="8">
        <v>950</v>
      </c>
      <c r="P33" s="8" t="s">
        <v>58</v>
      </c>
      <c r="Q33" s="8" t="s">
        <v>449</v>
      </c>
      <c r="R33" s="8" t="s">
        <v>450</v>
      </c>
      <c r="S33" s="8" t="s">
        <v>145</v>
      </c>
      <c r="T33" s="8" t="s">
        <v>62</v>
      </c>
      <c r="U33" s="8"/>
      <c r="V33" s="8">
        <v>26</v>
      </c>
      <c r="W33" s="8" t="s">
        <v>301</v>
      </c>
      <c r="X33" s="8" t="s">
        <v>64</v>
      </c>
      <c r="Y33" s="8" t="s">
        <v>58</v>
      </c>
      <c r="Z33" s="8" t="s">
        <v>112</v>
      </c>
      <c r="AA33" s="8">
        <v>13</v>
      </c>
      <c r="AB33" s="8" t="s">
        <v>66</v>
      </c>
      <c r="AC33" s="8" t="s">
        <v>185</v>
      </c>
      <c r="AD33" s="8" t="s">
        <v>451</v>
      </c>
      <c r="AE33" s="8" t="s">
        <v>167</v>
      </c>
      <c r="AF33" s="8" t="s">
        <v>278</v>
      </c>
      <c r="AG33" s="8" t="s">
        <v>70</v>
      </c>
      <c r="AH33" s="8" t="s">
        <v>148</v>
      </c>
      <c r="AI33" s="8" t="s">
        <v>100</v>
      </c>
      <c r="AJ33" s="8" t="s">
        <v>73</v>
      </c>
      <c r="AK33" s="8" t="s">
        <v>452</v>
      </c>
      <c r="AL33" s="8" t="s">
        <v>64</v>
      </c>
      <c r="AM33" s="8" t="s">
        <v>453</v>
      </c>
    </row>
    <row r="34" spans="1:39" ht="20.100000000000001" customHeight="1" x14ac:dyDescent="0.25">
      <c r="A34" s="9" t="s">
        <v>454</v>
      </c>
      <c r="B34" s="10" t="s">
        <v>455</v>
      </c>
      <c r="C34" s="10" t="s">
        <v>456</v>
      </c>
      <c r="D34" s="10">
        <v>2017</v>
      </c>
      <c r="E34" s="10" t="s">
        <v>457</v>
      </c>
      <c r="F34" s="10" t="s">
        <v>285</v>
      </c>
      <c r="G34" s="10" t="s">
        <v>81</v>
      </c>
      <c r="H34" s="10" t="s">
        <v>82</v>
      </c>
      <c r="I34" s="10" t="s">
        <v>83</v>
      </c>
      <c r="J34" s="10" t="s">
        <v>84</v>
      </c>
      <c r="K34" s="10" t="s">
        <v>458</v>
      </c>
      <c r="L34" s="10" t="s">
        <v>55</v>
      </c>
      <c r="M34" s="10" t="s">
        <v>459</v>
      </c>
      <c r="N34" s="10" t="s">
        <v>57</v>
      </c>
      <c r="O34" s="10"/>
      <c r="P34" s="10" t="s">
        <v>88</v>
      </c>
      <c r="Q34" s="10" t="s">
        <v>460</v>
      </c>
      <c r="R34" s="10" t="s">
        <v>461</v>
      </c>
      <c r="S34" s="10" t="s">
        <v>145</v>
      </c>
      <c r="T34" s="10" t="s">
        <v>62</v>
      </c>
      <c r="U34" s="10"/>
      <c r="V34" s="10"/>
      <c r="W34" s="10" t="s">
        <v>163</v>
      </c>
      <c r="X34" s="10" t="s">
        <v>64</v>
      </c>
      <c r="Y34" s="10" t="s">
        <v>111</v>
      </c>
      <c r="Z34" s="10" t="s">
        <v>65</v>
      </c>
      <c r="AA34" s="10"/>
      <c r="AB34" s="10" t="s">
        <v>66</v>
      </c>
      <c r="AC34" s="10" t="s">
        <v>64</v>
      </c>
      <c r="AD34" s="10" t="s">
        <v>462</v>
      </c>
      <c r="AE34" s="10" t="s">
        <v>167</v>
      </c>
      <c r="AF34" s="10" t="s">
        <v>69</v>
      </c>
      <c r="AG34" s="10" t="s">
        <v>70</v>
      </c>
      <c r="AH34" s="10" t="s">
        <v>71</v>
      </c>
      <c r="AI34" s="10" t="s">
        <v>100</v>
      </c>
      <c r="AJ34" s="10" t="s">
        <v>101</v>
      </c>
      <c r="AK34" s="10" t="s">
        <v>463</v>
      </c>
      <c r="AL34" s="10" t="s">
        <v>64</v>
      </c>
      <c r="AM34" s="10" t="s">
        <v>464</v>
      </c>
    </row>
    <row r="35" spans="1:39" ht="20.100000000000001" customHeight="1" x14ac:dyDescent="0.25">
      <c r="A35" s="7" t="s">
        <v>465</v>
      </c>
      <c r="B35" s="8" t="s">
        <v>466</v>
      </c>
      <c r="C35" s="8" t="s">
        <v>467</v>
      </c>
      <c r="D35" s="8">
        <v>2025</v>
      </c>
      <c r="E35" s="8" t="s">
        <v>468</v>
      </c>
      <c r="F35" s="8" t="s">
        <v>469</v>
      </c>
      <c r="G35" s="8" t="s">
        <v>137</v>
      </c>
      <c r="H35" s="8" t="s">
        <v>470</v>
      </c>
      <c r="I35" s="8" t="s">
        <v>471</v>
      </c>
      <c r="J35" s="8" t="s">
        <v>53</v>
      </c>
      <c r="K35" s="8" t="s">
        <v>472</v>
      </c>
      <c r="L35" s="8" t="s">
        <v>55</v>
      </c>
      <c r="M35" s="8" t="s">
        <v>473</v>
      </c>
      <c r="N35" s="8" t="s">
        <v>141</v>
      </c>
      <c r="O35" s="8"/>
      <c r="P35" s="8" t="s">
        <v>58</v>
      </c>
      <c r="Q35" s="8" t="s">
        <v>474</v>
      </c>
      <c r="R35" s="8" t="s">
        <v>475</v>
      </c>
      <c r="S35" s="8" t="s">
        <v>145</v>
      </c>
      <c r="T35" s="8" t="s">
        <v>62</v>
      </c>
      <c r="U35" s="8">
        <v>-0.5</v>
      </c>
      <c r="V35" s="8">
        <v>0.5</v>
      </c>
      <c r="W35" s="8" t="s">
        <v>63</v>
      </c>
      <c r="X35" s="8" t="s">
        <v>64</v>
      </c>
      <c r="Y35" s="8" t="s">
        <v>111</v>
      </c>
      <c r="Z35" s="8" t="s">
        <v>127</v>
      </c>
      <c r="AA35" s="8"/>
      <c r="AB35" s="8" t="s">
        <v>128</v>
      </c>
      <c r="AC35" s="8" t="s">
        <v>64</v>
      </c>
      <c r="AD35" s="8" t="s">
        <v>476</v>
      </c>
      <c r="AE35" s="8" t="s">
        <v>96</v>
      </c>
      <c r="AF35" s="8" t="s">
        <v>97</v>
      </c>
      <c r="AG35" s="8" t="s">
        <v>115</v>
      </c>
      <c r="AH35" s="8" t="s">
        <v>99</v>
      </c>
      <c r="AI35" s="8" t="s">
        <v>100</v>
      </c>
      <c r="AJ35" s="8" t="s">
        <v>73</v>
      </c>
      <c r="AK35" s="8" t="s">
        <v>477</v>
      </c>
      <c r="AL35" s="8" t="s">
        <v>64</v>
      </c>
      <c r="AM35" s="8" t="s">
        <v>478</v>
      </c>
    </row>
    <row r="36" spans="1:39" ht="20.100000000000001" customHeight="1" x14ac:dyDescent="0.25">
      <c r="A36" s="9" t="s">
        <v>479</v>
      </c>
      <c r="B36" s="10" t="s">
        <v>480</v>
      </c>
      <c r="C36" s="10" t="s">
        <v>481</v>
      </c>
      <c r="D36" s="10">
        <v>2024</v>
      </c>
      <c r="E36" s="10" t="s">
        <v>482</v>
      </c>
      <c r="F36" s="10" t="s">
        <v>483</v>
      </c>
      <c r="G36" s="10" t="s">
        <v>81</v>
      </c>
      <c r="H36" s="10" t="s">
        <v>378</v>
      </c>
      <c r="I36" s="10" t="s">
        <v>484</v>
      </c>
      <c r="J36" s="10" t="s">
        <v>485</v>
      </c>
      <c r="K36" s="10" t="s">
        <v>486</v>
      </c>
      <c r="L36" s="10" t="s">
        <v>55</v>
      </c>
      <c r="M36" s="10" t="s">
        <v>487</v>
      </c>
      <c r="N36" s="10" t="s">
        <v>127</v>
      </c>
      <c r="O36" s="10"/>
      <c r="P36" s="10" t="s">
        <v>128</v>
      </c>
      <c r="Q36" s="10" t="s">
        <v>59</v>
      </c>
      <c r="R36" s="10" t="s">
        <v>488</v>
      </c>
      <c r="S36" s="10" t="s">
        <v>90</v>
      </c>
      <c r="T36" s="10" t="s">
        <v>243</v>
      </c>
      <c r="U36" s="10">
        <v>-2</v>
      </c>
      <c r="V36" s="10">
        <v>2</v>
      </c>
      <c r="W36" s="10" t="s">
        <v>63</v>
      </c>
      <c r="X36" s="10" t="s">
        <v>146</v>
      </c>
      <c r="Y36" s="10" t="s">
        <v>58</v>
      </c>
      <c r="Z36" s="10" t="s">
        <v>127</v>
      </c>
      <c r="AA36" s="10"/>
      <c r="AB36" s="10" t="s">
        <v>128</v>
      </c>
      <c r="AC36" s="10" t="s">
        <v>64</v>
      </c>
      <c r="AD36" s="10" t="s">
        <v>489</v>
      </c>
      <c r="AE36" s="10" t="s">
        <v>68</v>
      </c>
      <c r="AF36" s="10" t="s">
        <v>114</v>
      </c>
      <c r="AG36" s="10" t="s">
        <v>115</v>
      </c>
      <c r="AH36" s="10" t="s">
        <v>187</v>
      </c>
      <c r="AI36" s="10" t="s">
        <v>100</v>
      </c>
      <c r="AJ36" s="10" t="s">
        <v>149</v>
      </c>
      <c r="AK36" s="10" t="s">
        <v>490</v>
      </c>
      <c r="AL36" s="10" t="s">
        <v>64</v>
      </c>
      <c r="AM36" s="10" t="s">
        <v>491</v>
      </c>
    </row>
    <row r="37" spans="1:39" ht="20.100000000000001" customHeight="1" x14ac:dyDescent="0.25">
      <c r="A37" s="7" t="s">
        <v>492</v>
      </c>
      <c r="B37" s="8" t="s">
        <v>493</v>
      </c>
      <c r="C37" s="8" t="s">
        <v>494</v>
      </c>
      <c r="D37" s="8">
        <v>2016</v>
      </c>
      <c r="E37" s="8" t="s">
        <v>495</v>
      </c>
      <c r="F37" s="8" t="s">
        <v>173</v>
      </c>
      <c r="G37" s="8" t="s">
        <v>81</v>
      </c>
      <c r="H37" s="8" t="s">
        <v>164</v>
      </c>
      <c r="I37" s="8" t="s">
        <v>227</v>
      </c>
      <c r="J37" s="8" t="s">
        <v>175</v>
      </c>
      <c r="K37" s="8" t="s">
        <v>496</v>
      </c>
      <c r="L37" s="8" t="s">
        <v>86</v>
      </c>
      <c r="M37" s="8" t="s">
        <v>497</v>
      </c>
      <c r="N37" s="8" t="s">
        <v>141</v>
      </c>
      <c r="O37" s="8">
        <v>1000</v>
      </c>
      <c r="P37" s="8" t="s">
        <v>128</v>
      </c>
      <c r="Q37" s="8" t="s">
        <v>498</v>
      </c>
      <c r="R37" s="8" t="s">
        <v>499</v>
      </c>
      <c r="S37" s="8" t="s">
        <v>90</v>
      </c>
      <c r="T37" s="8" t="s">
        <v>91</v>
      </c>
      <c r="U37" s="8"/>
      <c r="V37" s="8"/>
      <c r="W37" s="8" t="s">
        <v>126</v>
      </c>
      <c r="X37" s="8" t="s">
        <v>64</v>
      </c>
      <c r="Y37" s="8" t="s">
        <v>93</v>
      </c>
      <c r="Z37" s="8" t="s">
        <v>112</v>
      </c>
      <c r="AA37" s="8">
        <v>75</v>
      </c>
      <c r="AB37" s="8" t="s">
        <v>66</v>
      </c>
      <c r="AC37" s="8" t="s">
        <v>64</v>
      </c>
      <c r="AD37" s="8" t="s">
        <v>500</v>
      </c>
      <c r="AE37" s="8" t="s">
        <v>68</v>
      </c>
      <c r="AF37" s="8" t="s">
        <v>114</v>
      </c>
      <c r="AG37" s="8" t="s">
        <v>115</v>
      </c>
      <c r="AH37" s="8" t="s">
        <v>148</v>
      </c>
      <c r="AI37" s="8" t="s">
        <v>100</v>
      </c>
      <c r="AJ37" s="8" t="s">
        <v>89</v>
      </c>
      <c r="AK37" s="8" t="s">
        <v>501</v>
      </c>
      <c r="AL37" s="8" t="s">
        <v>64</v>
      </c>
      <c r="AM37" s="8" t="s">
        <v>502</v>
      </c>
    </row>
    <row r="38" spans="1:39" ht="20.100000000000001" customHeight="1" x14ac:dyDescent="0.25">
      <c r="A38" s="9" t="s">
        <v>503</v>
      </c>
      <c r="B38" s="10" t="s">
        <v>504</v>
      </c>
      <c r="C38" s="10" t="s">
        <v>505</v>
      </c>
      <c r="D38" s="10">
        <v>2025</v>
      </c>
      <c r="E38" s="10" t="s">
        <v>506</v>
      </c>
      <c r="F38" s="10" t="s">
        <v>507</v>
      </c>
      <c r="G38" s="10" t="s">
        <v>156</v>
      </c>
      <c r="H38" s="10" t="s">
        <v>164</v>
      </c>
      <c r="I38" s="10" t="s">
        <v>52</v>
      </c>
      <c r="J38" s="10" t="s">
        <v>175</v>
      </c>
      <c r="K38" s="10" t="s">
        <v>508</v>
      </c>
      <c r="L38" s="10" t="s">
        <v>86</v>
      </c>
      <c r="M38" s="10" t="s">
        <v>509</v>
      </c>
      <c r="N38" s="10" t="s">
        <v>164</v>
      </c>
      <c r="O38" s="10">
        <v>1000</v>
      </c>
      <c r="P38" s="10" t="s">
        <v>128</v>
      </c>
      <c r="Q38" s="10" t="s">
        <v>510</v>
      </c>
      <c r="R38" s="10" t="s">
        <v>511</v>
      </c>
      <c r="S38" s="10" t="s">
        <v>90</v>
      </c>
      <c r="T38" s="10" t="s">
        <v>91</v>
      </c>
      <c r="U38" s="10"/>
      <c r="V38" s="10"/>
      <c r="W38" s="10" t="s">
        <v>89</v>
      </c>
      <c r="X38" s="10" t="s">
        <v>64</v>
      </c>
      <c r="Y38" s="10" t="s">
        <v>58</v>
      </c>
      <c r="Z38" s="10" t="s">
        <v>112</v>
      </c>
      <c r="AA38" s="10">
        <v>47</v>
      </c>
      <c r="AB38" s="10" t="s">
        <v>66</v>
      </c>
      <c r="AC38" s="10" t="s">
        <v>185</v>
      </c>
      <c r="AD38" s="10" t="s">
        <v>512</v>
      </c>
      <c r="AE38" s="10" t="s">
        <v>96</v>
      </c>
      <c r="AF38" s="10" t="s">
        <v>114</v>
      </c>
      <c r="AG38" s="10" t="s">
        <v>115</v>
      </c>
      <c r="AH38" s="10" t="s">
        <v>164</v>
      </c>
      <c r="AI38" s="10" t="s">
        <v>100</v>
      </c>
      <c r="AJ38" s="10" t="s">
        <v>89</v>
      </c>
      <c r="AK38" s="10" t="s">
        <v>513</v>
      </c>
      <c r="AL38" s="10" t="s">
        <v>128</v>
      </c>
      <c r="AM38" s="10" t="s">
        <v>514</v>
      </c>
    </row>
    <row r="39" spans="1:39" ht="20.100000000000001" customHeight="1" x14ac:dyDescent="0.25">
      <c r="A39" s="7" t="s">
        <v>515</v>
      </c>
      <c r="B39" s="8" t="s">
        <v>516</v>
      </c>
      <c r="C39" s="8" t="s">
        <v>517</v>
      </c>
      <c r="D39" s="8">
        <v>2020</v>
      </c>
      <c r="E39" s="8" t="s">
        <v>518</v>
      </c>
      <c r="F39" s="8" t="s">
        <v>432</v>
      </c>
      <c r="G39" s="8" t="s">
        <v>260</v>
      </c>
      <c r="H39" s="8" t="s">
        <v>51</v>
      </c>
      <c r="I39" s="8" t="s">
        <v>52</v>
      </c>
      <c r="J39" s="8" t="s">
        <v>53</v>
      </c>
      <c r="K39" s="8" t="s">
        <v>519</v>
      </c>
      <c r="L39" s="8" t="s">
        <v>55</v>
      </c>
      <c r="M39" s="8" t="s">
        <v>520</v>
      </c>
      <c r="N39" s="8" t="s">
        <v>164</v>
      </c>
      <c r="O39" s="8">
        <v>850</v>
      </c>
      <c r="P39" s="8" t="s">
        <v>58</v>
      </c>
      <c r="Q39" s="8" t="s">
        <v>521</v>
      </c>
      <c r="R39" s="8" t="s">
        <v>522</v>
      </c>
      <c r="S39" s="8" t="s">
        <v>145</v>
      </c>
      <c r="T39" s="8" t="s">
        <v>91</v>
      </c>
      <c r="U39" s="8">
        <v>20</v>
      </c>
      <c r="V39" s="8">
        <v>25</v>
      </c>
      <c r="W39" s="8" t="s">
        <v>92</v>
      </c>
      <c r="X39" s="8" t="s">
        <v>64</v>
      </c>
      <c r="Y39" s="8" t="s">
        <v>93</v>
      </c>
      <c r="Z39" s="8" t="s">
        <v>112</v>
      </c>
      <c r="AA39" s="8">
        <v>20</v>
      </c>
      <c r="AB39" s="8" t="s">
        <v>66</v>
      </c>
      <c r="AC39" s="8" t="s">
        <v>64</v>
      </c>
      <c r="AD39" s="8" t="s">
        <v>523</v>
      </c>
      <c r="AE39" s="8" t="s">
        <v>167</v>
      </c>
      <c r="AF39" s="8" t="s">
        <v>219</v>
      </c>
      <c r="AG39" s="8" t="s">
        <v>70</v>
      </c>
      <c r="AH39" s="8" t="s">
        <v>340</v>
      </c>
      <c r="AI39" s="8" t="s">
        <v>72</v>
      </c>
      <c r="AJ39" s="8" t="s">
        <v>73</v>
      </c>
      <c r="AK39" s="8" t="s">
        <v>524</v>
      </c>
      <c r="AL39" s="8" t="s">
        <v>64</v>
      </c>
      <c r="AM39" s="8" t="s">
        <v>525</v>
      </c>
    </row>
    <row r="40" spans="1:39" ht="20.100000000000001" customHeight="1" x14ac:dyDescent="0.25">
      <c r="A40" s="9" t="s">
        <v>526</v>
      </c>
      <c r="B40" s="10" t="s">
        <v>527</v>
      </c>
      <c r="C40" s="10" t="s">
        <v>528</v>
      </c>
      <c r="D40" s="10">
        <v>2022</v>
      </c>
      <c r="E40" s="10" t="s">
        <v>529</v>
      </c>
      <c r="F40" s="10" t="s">
        <v>49</v>
      </c>
      <c r="G40" s="10" t="s">
        <v>81</v>
      </c>
      <c r="H40" s="10" t="s">
        <v>164</v>
      </c>
      <c r="I40" s="10" t="s">
        <v>530</v>
      </c>
      <c r="J40" s="10" t="s">
        <v>84</v>
      </c>
      <c r="K40" s="10" t="s">
        <v>531</v>
      </c>
      <c r="L40" s="10" t="s">
        <v>86</v>
      </c>
      <c r="M40" s="10" t="s">
        <v>532</v>
      </c>
      <c r="N40" s="10" t="s">
        <v>127</v>
      </c>
      <c r="O40" s="10"/>
      <c r="P40" s="10" t="s">
        <v>128</v>
      </c>
      <c r="Q40" s="10" t="s">
        <v>89</v>
      </c>
      <c r="R40" s="10" t="s">
        <v>90</v>
      </c>
      <c r="S40" s="10" t="s">
        <v>90</v>
      </c>
      <c r="T40" s="10" t="s">
        <v>206</v>
      </c>
      <c r="U40" s="10"/>
      <c r="V40" s="10"/>
      <c r="W40" s="10" t="s">
        <v>126</v>
      </c>
      <c r="X40" s="10" t="s">
        <v>64</v>
      </c>
      <c r="Y40" s="10" t="s">
        <v>111</v>
      </c>
      <c r="Z40" s="10" t="s">
        <v>112</v>
      </c>
      <c r="AA40" s="10">
        <v>52</v>
      </c>
      <c r="AB40" s="10" t="s">
        <v>66</v>
      </c>
      <c r="AC40" s="10" t="s">
        <v>64</v>
      </c>
      <c r="AD40" s="10" t="s">
        <v>533</v>
      </c>
      <c r="AE40" s="10" t="s">
        <v>68</v>
      </c>
      <c r="AF40" s="10" t="s">
        <v>278</v>
      </c>
      <c r="AG40" s="10" t="s">
        <v>98</v>
      </c>
      <c r="AH40" s="10" t="s">
        <v>148</v>
      </c>
      <c r="AI40" s="10" t="s">
        <v>100</v>
      </c>
      <c r="AJ40" s="10" t="s">
        <v>101</v>
      </c>
      <c r="AK40" s="10" t="s">
        <v>534</v>
      </c>
      <c r="AL40" s="10" t="s">
        <v>64</v>
      </c>
      <c r="AM40" s="10" t="s">
        <v>535</v>
      </c>
    </row>
    <row r="41" spans="1:39" ht="20.100000000000001" customHeight="1" x14ac:dyDescent="0.25">
      <c r="A41" s="7" t="s">
        <v>536</v>
      </c>
      <c r="B41" s="8" t="s">
        <v>537</v>
      </c>
      <c r="C41" s="8" t="s">
        <v>538</v>
      </c>
      <c r="D41" s="8">
        <v>2020</v>
      </c>
      <c r="E41" s="8" t="s">
        <v>539</v>
      </c>
      <c r="F41" s="8" t="s">
        <v>285</v>
      </c>
      <c r="G41" s="8" t="s">
        <v>50</v>
      </c>
      <c r="H41" s="8" t="s">
        <v>82</v>
      </c>
      <c r="I41" s="8" t="s">
        <v>296</v>
      </c>
      <c r="J41" s="8" t="s">
        <v>84</v>
      </c>
      <c r="K41" s="8" t="s">
        <v>540</v>
      </c>
      <c r="L41" s="8" t="s">
        <v>55</v>
      </c>
      <c r="M41" s="8" t="s">
        <v>541</v>
      </c>
      <c r="N41" s="8" t="s">
        <v>127</v>
      </c>
      <c r="O41" s="8"/>
      <c r="P41" s="8" t="s">
        <v>128</v>
      </c>
      <c r="Q41" s="8" t="s">
        <v>128</v>
      </c>
      <c r="R41" s="8" t="s">
        <v>90</v>
      </c>
      <c r="S41" s="8" t="s">
        <v>90</v>
      </c>
      <c r="T41" s="8" t="s">
        <v>206</v>
      </c>
      <c r="U41" s="8"/>
      <c r="V41" s="8"/>
      <c r="W41" s="8" t="s">
        <v>301</v>
      </c>
      <c r="X41" s="8" t="s">
        <v>64</v>
      </c>
      <c r="Y41" s="8" t="s">
        <v>111</v>
      </c>
      <c r="Z41" s="8" t="s">
        <v>65</v>
      </c>
      <c r="AA41" s="8"/>
      <c r="AB41" s="8" t="s">
        <v>66</v>
      </c>
      <c r="AC41" s="8" t="s">
        <v>64</v>
      </c>
      <c r="AD41" s="8" t="s">
        <v>542</v>
      </c>
      <c r="AE41" s="8" t="s">
        <v>96</v>
      </c>
      <c r="AF41" s="8" t="s">
        <v>69</v>
      </c>
      <c r="AG41" s="8" t="s">
        <v>70</v>
      </c>
      <c r="AH41" s="8" t="s">
        <v>148</v>
      </c>
      <c r="AI41" s="8" t="s">
        <v>100</v>
      </c>
      <c r="AJ41" s="8" t="s">
        <v>101</v>
      </c>
      <c r="AK41" s="8" t="s">
        <v>543</v>
      </c>
      <c r="AL41" s="8" t="s">
        <v>64</v>
      </c>
      <c r="AM41" s="8" t="s">
        <v>544</v>
      </c>
    </row>
    <row r="42" spans="1:39" ht="20.100000000000001" customHeight="1" x14ac:dyDescent="0.25">
      <c r="A42" s="9" t="s">
        <v>545</v>
      </c>
      <c r="B42" s="10" t="s">
        <v>546</v>
      </c>
      <c r="C42" s="10" t="s">
        <v>547</v>
      </c>
      <c r="D42" s="10">
        <v>2025</v>
      </c>
      <c r="E42" s="10" t="s">
        <v>548</v>
      </c>
      <c r="F42" s="10" t="s">
        <v>549</v>
      </c>
      <c r="G42" s="10" t="s">
        <v>137</v>
      </c>
      <c r="H42" s="10" t="s">
        <v>82</v>
      </c>
      <c r="I42" s="10" t="s">
        <v>182</v>
      </c>
      <c r="J42" s="10" t="s">
        <v>138</v>
      </c>
      <c r="K42" s="10" t="s">
        <v>550</v>
      </c>
      <c r="L42" s="10" t="s">
        <v>86</v>
      </c>
      <c r="M42" s="10" t="s">
        <v>551</v>
      </c>
      <c r="N42" s="10" t="s">
        <v>141</v>
      </c>
      <c r="O42" s="10">
        <v>1500</v>
      </c>
      <c r="P42" s="10" t="s">
        <v>58</v>
      </c>
      <c r="Q42" s="10" t="s">
        <v>552</v>
      </c>
      <c r="R42" s="10" t="s">
        <v>553</v>
      </c>
      <c r="S42" s="10" t="s">
        <v>145</v>
      </c>
      <c r="T42" s="10" t="s">
        <v>91</v>
      </c>
      <c r="U42" s="10">
        <v>20</v>
      </c>
      <c r="V42" s="10">
        <v>25</v>
      </c>
      <c r="W42" s="10" t="s">
        <v>89</v>
      </c>
      <c r="X42" s="10" t="s">
        <v>146</v>
      </c>
      <c r="Y42" s="10" t="s">
        <v>147</v>
      </c>
      <c r="Z42" s="10" t="s">
        <v>127</v>
      </c>
      <c r="AA42" s="10"/>
      <c r="AB42" s="10" t="s">
        <v>128</v>
      </c>
      <c r="AC42" s="10" t="s">
        <v>64</v>
      </c>
      <c r="AD42" s="10" t="s">
        <v>554</v>
      </c>
      <c r="AE42" s="10" t="s">
        <v>96</v>
      </c>
      <c r="AF42" s="10" t="s">
        <v>114</v>
      </c>
      <c r="AG42" s="10" t="s">
        <v>115</v>
      </c>
      <c r="AH42" s="10" t="s">
        <v>148</v>
      </c>
      <c r="AI42" s="10" t="s">
        <v>100</v>
      </c>
      <c r="AJ42" s="10" t="s">
        <v>149</v>
      </c>
      <c r="AK42" s="10" t="s">
        <v>555</v>
      </c>
      <c r="AL42" s="10" t="s">
        <v>64</v>
      </c>
      <c r="AM42" s="10" t="s">
        <v>556</v>
      </c>
    </row>
    <row r="43" spans="1:39" ht="20.100000000000001" customHeight="1" x14ac:dyDescent="0.25">
      <c r="A43" s="7" t="s">
        <v>557</v>
      </c>
      <c r="B43" s="8" t="s">
        <v>558</v>
      </c>
      <c r="C43" s="8" t="s">
        <v>559</v>
      </c>
      <c r="D43" s="8">
        <v>2022</v>
      </c>
      <c r="E43" s="8" t="s">
        <v>560</v>
      </c>
      <c r="F43" s="8" t="s">
        <v>561</v>
      </c>
      <c r="G43" s="8" t="s">
        <v>137</v>
      </c>
      <c r="H43" s="8" t="s">
        <v>51</v>
      </c>
      <c r="I43" s="8" t="s">
        <v>562</v>
      </c>
      <c r="J43" s="8" t="s">
        <v>53</v>
      </c>
      <c r="K43" s="8" t="s">
        <v>563</v>
      </c>
      <c r="L43" s="8" t="s">
        <v>55</v>
      </c>
      <c r="M43" s="8" t="s">
        <v>564</v>
      </c>
      <c r="N43" s="8" t="s">
        <v>565</v>
      </c>
      <c r="O43" s="8"/>
      <c r="P43" s="8" t="s">
        <v>128</v>
      </c>
      <c r="Q43" s="8" t="s">
        <v>566</v>
      </c>
      <c r="R43" s="8" t="s">
        <v>567</v>
      </c>
      <c r="S43" s="8" t="s">
        <v>145</v>
      </c>
      <c r="T43" s="8" t="s">
        <v>91</v>
      </c>
      <c r="U43" s="8">
        <v>14</v>
      </c>
      <c r="V43" s="8">
        <v>26</v>
      </c>
      <c r="W43" s="8" t="s">
        <v>89</v>
      </c>
      <c r="X43" s="8" t="s">
        <v>64</v>
      </c>
      <c r="Y43" s="8" t="s">
        <v>58</v>
      </c>
      <c r="Z43" s="8" t="s">
        <v>127</v>
      </c>
      <c r="AA43" s="8"/>
      <c r="AB43" s="8" t="s">
        <v>128</v>
      </c>
      <c r="AC43" s="8" t="s">
        <v>64</v>
      </c>
      <c r="AD43" s="8" t="s">
        <v>568</v>
      </c>
      <c r="AE43" s="8" t="s">
        <v>96</v>
      </c>
      <c r="AF43" s="8" t="s">
        <v>97</v>
      </c>
      <c r="AG43" s="8" t="s">
        <v>115</v>
      </c>
      <c r="AH43" s="8" t="s">
        <v>187</v>
      </c>
      <c r="AI43" s="8" t="s">
        <v>100</v>
      </c>
      <c r="AJ43" s="8" t="s">
        <v>73</v>
      </c>
      <c r="AK43" s="8" t="s">
        <v>569</v>
      </c>
      <c r="AL43" s="8" t="s">
        <v>64</v>
      </c>
      <c r="AM43" s="8" t="s">
        <v>570</v>
      </c>
    </row>
    <row r="44" spans="1:39" ht="20.100000000000001" customHeight="1" x14ac:dyDescent="0.25">
      <c r="A44" s="9" t="s">
        <v>571</v>
      </c>
      <c r="B44" s="10" t="s">
        <v>572</v>
      </c>
      <c r="C44" s="10" t="s">
        <v>573</v>
      </c>
      <c r="D44" s="10">
        <v>2018</v>
      </c>
      <c r="E44" s="10" t="s">
        <v>574</v>
      </c>
      <c r="F44" s="10" t="s">
        <v>136</v>
      </c>
      <c r="G44" s="10" t="s">
        <v>137</v>
      </c>
      <c r="H44" s="10" t="s">
        <v>107</v>
      </c>
      <c r="I44" s="10" t="s">
        <v>575</v>
      </c>
      <c r="J44" s="10" t="s">
        <v>84</v>
      </c>
      <c r="K44" s="10" t="s">
        <v>576</v>
      </c>
      <c r="L44" s="10" t="s">
        <v>86</v>
      </c>
      <c r="M44" s="10" t="s">
        <v>577</v>
      </c>
      <c r="N44" s="10" t="s">
        <v>141</v>
      </c>
      <c r="O44" s="10">
        <v>1000</v>
      </c>
      <c r="P44" s="10" t="s">
        <v>88</v>
      </c>
      <c r="Q44" s="10" t="s">
        <v>578</v>
      </c>
      <c r="R44" s="10" t="s">
        <v>579</v>
      </c>
      <c r="S44" s="10" t="s">
        <v>61</v>
      </c>
      <c r="T44" s="10" t="s">
        <v>206</v>
      </c>
      <c r="U44" s="10">
        <v>20</v>
      </c>
      <c r="V44" s="10">
        <v>28</v>
      </c>
      <c r="W44" s="10" t="s">
        <v>126</v>
      </c>
      <c r="X44" s="10" t="s">
        <v>64</v>
      </c>
      <c r="Y44" s="10" t="s">
        <v>58</v>
      </c>
      <c r="Z44" s="10" t="s">
        <v>65</v>
      </c>
      <c r="AA44" s="10">
        <v>60</v>
      </c>
      <c r="AB44" s="10" t="s">
        <v>66</v>
      </c>
      <c r="AC44" s="10" t="s">
        <v>64</v>
      </c>
      <c r="AD44" s="10" t="s">
        <v>580</v>
      </c>
      <c r="AE44" s="10" t="s">
        <v>167</v>
      </c>
      <c r="AF44" s="10" t="s">
        <v>114</v>
      </c>
      <c r="AG44" s="10" t="s">
        <v>115</v>
      </c>
      <c r="AH44" s="10" t="s">
        <v>164</v>
      </c>
      <c r="AI44" s="10" t="s">
        <v>100</v>
      </c>
      <c r="AJ44" s="10" t="s">
        <v>101</v>
      </c>
      <c r="AK44" s="10" t="s">
        <v>581</v>
      </c>
      <c r="AL44" s="10" t="s">
        <v>64</v>
      </c>
      <c r="AM44" s="10" t="s">
        <v>582</v>
      </c>
    </row>
    <row r="45" spans="1:39" ht="20.100000000000001" customHeight="1" x14ac:dyDescent="0.25">
      <c r="A45" s="7" t="s">
        <v>583</v>
      </c>
      <c r="B45" s="8" t="s">
        <v>584</v>
      </c>
      <c r="C45" s="8" t="s">
        <v>585</v>
      </c>
      <c r="D45" s="8">
        <v>2017</v>
      </c>
      <c r="E45" s="8" t="s">
        <v>586</v>
      </c>
      <c r="F45" s="8" t="s">
        <v>173</v>
      </c>
      <c r="G45" s="8" t="s">
        <v>137</v>
      </c>
      <c r="H45" s="8" t="s">
        <v>378</v>
      </c>
      <c r="I45" s="8" t="s">
        <v>484</v>
      </c>
      <c r="J45" s="8" t="s">
        <v>138</v>
      </c>
      <c r="K45" s="8" t="s">
        <v>587</v>
      </c>
      <c r="L45" s="8" t="s">
        <v>55</v>
      </c>
      <c r="M45" s="8" t="s">
        <v>588</v>
      </c>
      <c r="N45" s="8" t="s">
        <v>141</v>
      </c>
      <c r="O45" s="8">
        <v>1250</v>
      </c>
      <c r="P45" s="8" t="s">
        <v>142</v>
      </c>
      <c r="Q45" s="8" t="s">
        <v>589</v>
      </c>
      <c r="R45" s="8" t="s">
        <v>90</v>
      </c>
      <c r="S45" s="8" t="s">
        <v>145</v>
      </c>
      <c r="T45" s="8" t="s">
        <v>62</v>
      </c>
      <c r="U45" s="8">
        <v>-1</v>
      </c>
      <c r="V45" s="8">
        <v>1</v>
      </c>
      <c r="W45" s="8" t="s">
        <v>126</v>
      </c>
      <c r="X45" s="8" t="s">
        <v>146</v>
      </c>
      <c r="Y45" s="8" t="s">
        <v>58</v>
      </c>
      <c r="Z45" s="8" t="s">
        <v>127</v>
      </c>
      <c r="AA45" s="8"/>
      <c r="AB45" s="8" t="s">
        <v>128</v>
      </c>
      <c r="AC45" s="8" t="s">
        <v>64</v>
      </c>
      <c r="AD45" s="8" t="s">
        <v>590</v>
      </c>
      <c r="AE45" s="8" t="s">
        <v>96</v>
      </c>
      <c r="AF45" s="8" t="s">
        <v>278</v>
      </c>
      <c r="AG45" s="8" t="s">
        <v>70</v>
      </c>
      <c r="AH45" s="8" t="s">
        <v>148</v>
      </c>
      <c r="AI45" s="8" t="s">
        <v>100</v>
      </c>
      <c r="AJ45" s="8" t="s">
        <v>73</v>
      </c>
      <c r="AK45" s="8" t="s">
        <v>591</v>
      </c>
      <c r="AL45" s="8" t="s">
        <v>64</v>
      </c>
      <c r="AM45" s="8" t="s">
        <v>592</v>
      </c>
    </row>
    <row r="46" spans="1:39" ht="20.100000000000001" customHeight="1" x14ac:dyDescent="0.25">
      <c r="A46" s="9" t="s">
        <v>593</v>
      </c>
      <c r="B46" s="10" t="s">
        <v>594</v>
      </c>
      <c r="C46" s="10" t="s">
        <v>595</v>
      </c>
      <c r="D46" s="10">
        <v>2019</v>
      </c>
      <c r="E46" s="10" t="s">
        <v>596</v>
      </c>
      <c r="F46" s="10" t="s">
        <v>285</v>
      </c>
      <c r="G46" s="10" t="s">
        <v>137</v>
      </c>
      <c r="H46" s="10" t="s">
        <v>378</v>
      </c>
      <c r="I46" s="10" t="s">
        <v>379</v>
      </c>
      <c r="J46" s="10" t="s">
        <v>53</v>
      </c>
      <c r="K46" s="10" t="s">
        <v>597</v>
      </c>
      <c r="L46" s="10" t="s">
        <v>55</v>
      </c>
      <c r="M46" s="10" t="s">
        <v>598</v>
      </c>
      <c r="N46" s="10" t="s">
        <v>141</v>
      </c>
      <c r="O46" s="10">
        <v>1000</v>
      </c>
      <c r="P46" s="10" t="s">
        <v>58</v>
      </c>
      <c r="Q46" s="10" t="s">
        <v>599</v>
      </c>
      <c r="R46" s="10" t="s">
        <v>90</v>
      </c>
      <c r="S46" s="10" t="s">
        <v>145</v>
      </c>
      <c r="T46" s="10" t="s">
        <v>62</v>
      </c>
      <c r="U46" s="10">
        <v>16.100000000000001</v>
      </c>
      <c r="V46" s="10">
        <v>26.8</v>
      </c>
      <c r="W46" s="10" t="s">
        <v>163</v>
      </c>
      <c r="X46" s="10" t="s">
        <v>64</v>
      </c>
      <c r="Y46" s="10" t="s">
        <v>93</v>
      </c>
      <c r="Z46" s="10" t="s">
        <v>65</v>
      </c>
      <c r="AA46" s="10">
        <v>35</v>
      </c>
      <c r="AB46" s="10" t="s">
        <v>66</v>
      </c>
      <c r="AC46" s="10" t="s">
        <v>185</v>
      </c>
      <c r="AD46" s="10" t="s">
        <v>600</v>
      </c>
      <c r="AE46" s="10" t="s">
        <v>68</v>
      </c>
      <c r="AF46" s="10" t="s">
        <v>97</v>
      </c>
      <c r="AG46" s="10" t="s">
        <v>115</v>
      </c>
      <c r="AH46" s="10" t="s">
        <v>116</v>
      </c>
      <c r="AI46" s="10" t="s">
        <v>100</v>
      </c>
      <c r="AJ46" s="10" t="s">
        <v>73</v>
      </c>
      <c r="AK46" s="10" t="s">
        <v>601</v>
      </c>
      <c r="AL46" s="10" t="s">
        <v>64</v>
      </c>
      <c r="AM46" s="10" t="s">
        <v>602</v>
      </c>
    </row>
    <row r="47" spans="1:39" ht="20.100000000000001" customHeight="1" x14ac:dyDescent="0.25">
      <c r="A47" s="7" t="s">
        <v>603</v>
      </c>
      <c r="B47" s="8" t="s">
        <v>604</v>
      </c>
      <c r="C47" s="8" t="s">
        <v>605</v>
      </c>
      <c r="D47" s="8">
        <v>2025</v>
      </c>
      <c r="E47" s="8" t="s">
        <v>606</v>
      </c>
      <c r="F47" s="8" t="s">
        <v>469</v>
      </c>
      <c r="G47" s="8" t="s">
        <v>137</v>
      </c>
      <c r="H47" s="8" t="s">
        <v>470</v>
      </c>
      <c r="I47" s="8" t="s">
        <v>471</v>
      </c>
      <c r="J47" s="8" t="s">
        <v>138</v>
      </c>
      <c r="K47" s="8" t="s">
        <v>607</v>
      </c>
      <c r="L47" s="8" t="s">
        <v>86</v>
      </c>
      <c r="M47" s="8" t="s">
        <v>608</v>
      </c>
      <c r="N47" s="8" t="s">
        <v>164</v>
      </c>
      <c r="O47" s="8"/>
      <c r="P47" s="8" t="s">
        <v>128</v>
      </c>
      <c r="Q47" s="8" t="s">
        <v>609</v>
      </c>
      <c r="R47" s="8" t="s">
        <v>610</v>
      </c>
      <c r="S47" s="8" t="s">
        <v>90</v>
      </c>
      <c r="T47" s="8" t="s">
        <v>243</v>
      </c>
      <c r="U47" s="8"/>
      <c r="V47" s="8"/>
      <c r="W47" s="8" t="s">
        <v>89</v>
      </c>
      <c r="X47" s="8" t="s">
        <v>146</v>
      </c>
      <c r="Y47" s="8" t="s">
        <v>58</v>
      </c>
      <c r="Z47" s="8" t="s">
        <v>127</v>
      </c>
      <c r="AA47" s="8"/>
      <c r="AB47" s="8" t="s">
        <v>128</v>
      </c>
      <c r="AC47" s="8" t="s">
        <v>89</v>
      </c>
      <c r="AD47" s="8" t="s">
        <v>611</v>
      </c>
      <c r="AE47" s="8" t="s">
        <v>96</v>
      </c>
      <c r="AF47" s="8" t="s">
        <v>114</v>
      </c>
      <c r="AG47" s="8" t="s">
        <v>115</v>
      </c>
      <c r="AH47" s="8" t="s">
        <v>128</v>
      </c>
      <c r="AI47" s="8" t="s">
        <v>100</v>
      </c>
      <c r="AJ47" s="8" t="s">
        <v>149</v>
      </c>
      <c r="AK47" s="8" t="s">
        <v>612</v>
      </c>
      <c r="AL47" s="8" t="s">
        <v>64</v>
      </c>
      <c r="AM47" s="8" t="s">
        <v>613</v>
      </c>
    </row>
    <row r="48" spans="1:39" ht="20.100000000000001" customHeight="1" x14ac:dyDescent="0.25">
      <c r="A48" s="9" t="s">
        <v>614</v>
      </c>
      <c r="B48" s="10" t="s">
        <v>615</v>
      </c>
      <c r="C48" s="10" t="s">
        <v>616</v>
      </c>
      <c r="D48" s="10">
        <v>2024</v>
      </c>
      <c r="E48" s="10" t="s">
        <v>617</v>
      </c>
      <c r="F48" s="10" t="s">
        <v>238</v>
      </c>
      <c r="G48" s="10" t="s">
        <v>81</v>
      </c>
      <c r="H48" s="10" t="s">
        <v>378</v>
      </c>
      <c r="I48" s="10" t="s">
        <v>618</v>
      </c>
      <c r="J48" s="10" t="s">
        <v>138</v>
      </c>
      <c r="K48" s="10" t="s">
        <v>619</v>
      </c>
      <c r="L48" s="10" t="s">
        <v>55</v>
      </c>
      <c r="M48" s="10" t="s">
        <v>620</v>
      </c>
      <c r="N48" s="10" t="s">
        <v>164</v>
      </c>
      <c r="O48" s="10">
        <v>1000</v>
      </c>
      <c r="P48" s="10" t="s">
        <v>142</v>
      </c>
      <c r="Q48" s="10" t="s">
        <v>621</v>
      </c>
      <c r="R48" s="10" t="s">
        <v>622</v>
      </c>
      <c r="S48" s="10" t="s">
        <v>145</v>
      </c>
      <c r="T48" s="10" t="s">
        <v>62</v>
      </c>
      <c r="U48" s="10">
        <v>-0.5</v>
      </c>
      <c r="V48" s="10">
        <v>0.5</v>
      </c>
      <c r="W48" s="10" t="s">
        <v>163</v>
      </c>
      <c r="X48" s="10" t="s">
        <v>64</v>
      </c>
      <c r="Y48" s="10" t="s">
        <v>147</v>
      </c>
      <c r="Z48" s="10" t="s">
        <v>127</v>
      </c>
      <c r="AA48" s="10"/>
      <c r="AB48" s="10" t="s">
        <v>128</v>
      </c>
      <c r="AC48" s="10" t="s">
        <v>64</v>
      </c>
      <c r="AD48" s="10" t="s">
        <v>623</v>
      </c>
      <c r="AE48" s="10" t="s">
        <v>68</v>
      </c>
      <c r="AF48" s="10" t="s">
        <v>278</v>
      </c>
      <c r="AG48" s="10" t="s">
        <v>115</v>
      </c>
      <c r="AH48" s="10" t="s">
        <v>340</v>
      </c>
      <c r="AI48" s="10" t="s">
        <v>100</v>
      </c>
      <c r="AJ48" s="10" t="s">
        <v>149</v>
      </c>
      <c r="AK48" s="10" t="s">
        <v>624</v>
      </c>
      <c r="AL48" s="10" t="s">
        <v>64</v>
      </c>
      <c r="AM48" s="10" t="s">
        <v>625</v>
      </c>
    </row>
    <row r="49" spans="1:39" ht="20.100000000000001" customHeight="1" x14ac:dyDescent="0.25">
      <c r="A49" s="7" t="s">
        <v>626</v>
      </c>
      <c r="B49" s="8" t="s">
        <v>627</v>
      </c>
      <c r="C49" s="8" t="s">
        <v>628</v>
      </c>
      <c r="D49" s="8">
        <v>2021</v>
      </c>
      <c r="E49" s="8" t="s">
        <v>629</v>
      </c>
      <c r="F49" s="8" t="s">
        <v>310</v>
      </c>
      <c r="G49" s="8" t="s">
        <v>137</v>
      </c>
      <c r="H49" s="8" t="s">
        <v>470</v>
      </c>
      <c r="I49" s="8" t="s">
        <v>630</v>
      </c>
      <c r="J49" s="8" t="s">
        <v>84</v>
      </c>
      <c r="K49" s="8" t="s">
        <v>631</v>
      </c>
      <c r="L49" s="8" t="s">
        <v>109</v>
      </c>
      <c r="M49" s="8" t="s">
        <v>632</v>
      </c>
      <c r="N49" s="8" t="s">
        <v>141</v>
      </c>
      <c r="O49" s="8">
        <v>850</v>
      </c>
      <c r="P49" s="8" t="s">
        <v>88</v>
      </c>
      <c r="Q49" s="8" t="s">
        <v>633</v>
      </c>
      <c r="R49" s="8" t="s">
        <v>634</v>
      </c>
      <c r="S49" s="8" t="s">
        <v>61</v>
      </c>
      <c r="T49" s="8" t="s">
        <v>62</v>
      </c>
      <c r="U49" s="8"/>
      <c r="V49" s="8">
        <v>10</v>
      </c>
      <c r="W49" s="8" t="s">
        <v>63</v>
      </c>
      <c r="X49" s="8" t="s">
        <v>64</v>
      </c>
      <c r="Y49" s="8" t="s">
        <v>111</v>
      </c>
      <c r="Z49" s="8" t="s">
        <v>65</v>
      </c>
      <c r="AA49" s="8">
        <v>70</v>
      </c>
      <c r="AB49" s="8" t="s">
        <v>66</v>
      </c>
      <c r="AC49" s="8" t="s">
        <v>185</v>
      </c>
      <c r="AD49" s="8" t="s">
        <v>635</v>
      </c>
      <c r="AE49" s="8" t="s">
        <v>167</v>
      </c>
      <c r="AF49" s="8" t="s">
        <v>303</v>
      </c>
      <c r="AG49" s="8" t="s">
        <v>70</v>
      </c>
      <c r="AH49" s="8" t="s">
        <v>116</v>
      </c>
      <c r="AI49" s="8" t="s">
        <v>100</v>
      </c>
      <c r="AJ49" s="8" t="s">
        <v>101</v>
      </c>
      <c r="AK49" s="8" t="s">
        <v>636</v>
      </c>
      <c r="AL49" s="8" t="s">
        <v>64</v>
      </c>
      <c r="AM49" s="8" t="s">
        <v>637</v>
      </c>
    </row>
    <row r="50" spans="1:39" ht="20.100000000000001" customHeight="1" x14ac:dyDescent="0.25">
      <c r="A50" s="9" t="s">
        <v>638</v>
      </c>
      <c r="B50" s="10" t="s">
        <v>639</v>
      </c>
      <c r="C50" s="10" t="s">
        <v>640</v>
      </c>
      <c r="D50" s="10">
        <v>2025</v>
      </c>
      <c r="E50" s="10" t="s">
        <v>641</v>
      </c>
      <c r="F50" s="10" t="s">
        <v>136</v>
      </c>
      <c r="G50" s="10" t="s">
        <v>50</v>
      </c>
      <c r="H50" s="10" t="s">
        <v>82</v>
      </c>
      <c r="I50" s="10" t="s">
        <v>530</v>
      </c>
      <c r="J50" s="10" t="s">
        <v>84</v>
      </c>
      <c r="K50" s="10" t="s">
        <v>642</v>
      </c>
      <c r="L50" s="10" t="s">
        <v>86</v>
      </c>
      <c r="M50" s="10" t="s">
        <v>643</v>
      </c>
      <c r="N50" s="10" t="s">
        <v>57</v>
      </c>
      <c r="O50" s="10"/>
      <c r="P50" s="10" t="s">
        <v>88</v>
      </c>
      <c r="Q50" s="10" t="s">
        <v>89</v>
      </c>
      <c r="R50" s="10" t="s">
        <v>644</v>
      </c>
      <c r="S50" s="10" t="s">
        <v>61</v>
      </c>
      <c r="T50" s="10" t="s">
        <v>127</v>
      </c>
      <c r="U50" s="10"/>
      <c r="V50" s="10"/>
      <c r="W50" s="10" t="s">
        <v>89</v>
      </c>
      <c r="X50" s="10" t="s">
        <v>146</v>
      </c>
      <c r="Y50" s="10" t="s">
        <v>58</v>
      </c>
      <c r="Z50" s="10" t="s">
        <v>127</v>
      </c>
      <c r="AA50" s="10"/>
      <c r="AB50" s="10" t="s">
        <v>128</v>
      </c>
      <c r="AC50" s="10" t="s">
        <v>64</v>
      </c>
      <c r="AD50" s="10" t="s">
        <v>645</v>
      </c>
      <c r="AE50" s="10" t="s">
        <v>96</v>
      </c>
      <c r="AF50" s="10" t="s">
        <v>97</v>
      </c>
      <c r="AG50" s="10" t="s">
        <v>115</v>
      </c>
      <c r="AH50" s="10" t="s">
        <v>99</v>
      </c>
      <c r="AI50" s="10" t="s">
        <v>100</v>
      </c>
      <c r="AJ50" s="10" t="s">
        <v>101</v>
      </c>
      <c r="AK50" s="10" t="s">
        <v>646</v>
      </c>
      <c r="AL50" s="10" t="s">
        <v>221</v>
      </c>
      <c r="AM50" s="10" t="s">
        <v>647</v>
      </c>
    </row>
    <row r="51" spans="1:39" ht="20.100000000000001" customHeight="1" x14ac:dyDescent="0.25">
      <c r="A51" s="7" t="s">
        <v>648</v>
      </c>
      <c r="B51" s="8" t="s">
        <v>649</v>
      </c>
      <c r="C51" s="8" t="s">
        <v>650</v>
      </c>
      <c r="D51" s="8">
        <v>2021</v>
      </c>
      <c r="E51" s="8" t="s">
        <v>651</v>
      </c>
      <c r="F51" s="8" t="s">
        <v>136</v>
      </c>
      <c r="G51" s="8" t="s">
        <v>137</v>
      </c>
      <c r="H51" s="8" t="s">
        <v>89</v>
      </c>
      <c r="I51" s="8" t="s">
        <v>652</v>
      </c>
      <c r="J51" s="8" t="s">
        <v>175</v>
      </c>
      <c r="K51" s="8" t="s">
        <v>128</v>
      </c>
      <c r="L51" s="8" t="s">
        <v>128</v>
      </c>
      <c r="M51" s="8" t="s">
        <v>653</v>
      </c>
      <c r="N51" s="8" t="s">
        <v>164</v>
      </c>
      <c r="O51" s="8">
        <v>1000</v>
      </c>
      <c r="P51" s="8" t="s">
        <v>58</v>
      </c>
      <c r="Q51" s="8" t="s">
        <v>654</v>
      </c>
      <c r="R51" s="8" t="s">
        <v>655</v>
      </c>
      <c r="S51" s="8" t="s">
        <v>145</v>
      </c>
      <c r="T51" s="8" t="s">
        <v>164</v>
      </c>
      <c r="U51" s="8">
        <v>-0.5</v>
      </c>
      <c r="V51" s="8">
        <v>0.5</v>
      </c>
      <c r="W51" s="8" t="s">
        <v>163</v>
      </c>
      <c r="X51" s="8" t="s">
        <v>146</v>
      </c>
      <c r="Y51" s="8" t="s">
        <v>58</v>
      </c>
      <c r="Z51" s="8" t="s">
        <v>112</v>
      </c>
      <c r="AA51" s="8"/>
      <c r="AB51" s="8" t="s">
        <v>128</v>
      </c>
      <c r="AC51" s="8" t="s">
        <v>64</v>
      </c>
      <c r="AD51" s="8" t="s">
        <v>656</v>
      </c>
      <c r="AE51" s="8" t="s">
        <v>164</v>
      </c>
      <c r="AF51" s="8" t="s">
        <v>114</v>
      </c>
      <c r="AG51" s="8" t="s">
        <v>115</v>
      </c>
      <c r="AH51" s="8" t="s">
        <v>148</v>
      </c>
      <c r="AI51" s="8" t="s">
        <v>100</v>
      </c>
      <c r="AJ51" s="8" t="s">
        <v>89</v>
      </c>
      <c r="AK51" s="8" t="s">
        <v>657</v>
      </c>
      <c r="AL51" s="8" t="s">
        <v>658</v>
      </c>
      <c r="AM51" s="8" t="s">
        <v>659</v>
      </c>
    </row>
    <row r="52" spans="1:39" ht="20.100000000000001" customHeight="1" x14ac:dyDescent="0.25">
      <c r="A52" s="9" t="s">
        <v>660</v>
      </c>
      <c r="B52" s="10" t="s">
        <v>661</v>
      </c>
      <c r="C52" s="10" t="s">
        <v>662</v>
      </c>
      <c r="D52" s="10">
        <v>2022</v>
      </c>
      <c r="E52" s="10" t="s">
        <v>663</v>
      </c>
      <c r="F52" s="10" t="s">
        <v>49</v>
      </c>
      <c r="G52" s="10" t="s">
        <v>81</v>
      </c>
      <c r="H52" s="10" t="s">
        <v>164</v>
      </c>
      <c r="I52" s="10" t="s">
        <v>530</v>
      </c>
      <c r="J52" s="10" t="s">
        <v>84</v>
      </c>
      <c r="K52" s="10" t="s">
        <v>664</v>
      </c>
      <c r="L52" s="10" t="s">
        <v>86</v>
      </c>
      <c r="M52" s="10" t="s">
        <v>665</v>
      </c>
      <c r="N52" s="10" t="s">
        <v>57</v>
      </c>
      <c r="O52" s="10"/>
      <c r="P52" s="10" t="s">
        <v>128</v>
      </c>
      <c r="Q52" s="10" t="s">
        <v>666</v>
      </c>
      <c r="R52" s="10" t="s">
        <v>667</v>
      </c>
      <c r="S52" s="10" t="s">
        <v>61</v>
      </c>
      <c r="T52" s="10" t="s">
        <v>206</v>
      </c>
      <c r="U52" s="10"/>
      <c r="V52" s="10"/>
      <c r="W52" s="10" t="s">
        <v>126</v>
      </c>
      <c r="X52" s="10" t="s">
        <v>64</v>
      </c>
      <c r="Y52" s="10" t="s">
        <v>93</v>
      </c>
      <c r="Z52" s="10" t="s">
        <v>112</v>
      </c>
      <c r="AA52" s="10">
        <v>18</v>
      </c>
      <c r="AB52" s="10" t="s">
        <v>94</v>
      </c>
      <c r="AC52" s="10" t="s">
        <v>64</v>
      </c>
      <c r="AD52" s="10" t="s">
        <v>668</v>
      </c>
      <c r="AE52" s="10" t="s">
        <v>96</v>
      </c>
      <c r="AF52" s="10" t="s">
        <v>114</v>
      </c>
      <c r="AG52" s="10" t="s">
        <v>115</v>
      </c>
      <c r="AH52" s="10" t="s">
        <v>116</v>
      </c>
      <c r="AI52" s="10" t="s">
        <v>100</v>
      </c>
      <c r="AJ52" s="10" t="s">
        <v>101</v>
      </c>
      <c r="AK52" s="10" t="s">
        <v>669</v>
      </c>
      <c r="AL52" s="10" t="s">
        <v>64</v>
      </c>
      <c r="AM52" s="10" t="s">
        <v>670</v>
      </c>
    </row>
    <row r="53" spans="1:39" ht="20.100000000000001" customHeight="1" x14ac:dyDescent="0.25">
      <c r="A53" s="7" t="s">
        <v>671</v>
      </c>
      <c r="B53" s="8" t="s">
        <v>672</v>
      </c>
      <c r="C53" s="8" t="s">
        <v>673</v>
      </c>
      <c r="D53" s="8">
        <v>2018</v>
      </c>
      <c r="E53" s="8" t="s">
        <v>674</v>
      </c>
      <c r="F53" s="8" t="s">
        <v>49</v>
      </c>
      <c r="G53" s="8" t="s">
        <v>137</v>
      </c>
      <c r="H53" s="8" t="s">
        <v>82</v>
      </c>
      <c r="I53" s="8" t="s">
        <v>675</v>
      </c>
      <c r="J53" s="8" t="s">
        <v>138</v>
      </c>
      <c r="K53" s="8" t="s">
        <v>676</v>
      </c>
      <c r="L53" s="8" t="s">
        <v>55</v>
      </c>
      <c r="M53" s="8" t="s">
        <v>677</v>
      </c>
      <c r="N53" s="8" t="s">
        <v>141</v>
      </c>
      <c r="O53" s="8"/>
      <c r="P53" s="8" t="s">
        <v>142</v>
      </c>
      <c r="Q53" s="8" t="s">
        <v>89</v>
      </c>
      <c r="R53" s="8" t="s">
        <v>678</v>
      </c>
      <c r="S53" s="8" t="s">
        <v>145</v>
      </c>
      <c r="T53" s="8" t="s">
        <v>91</v>
      </c>
      <c r="U53" s="8"/>
      <c r="V53" s="8"/>
      <c r="W53" s="8" t="s">
        <v>89</v>
      </c>
      <c r="X53" s="8" t="s">
        <v>146</v>
      </c>
      <c r="Y53" s="8" t="s">
        <v>147</v>
      </c>
      <c r="Z53" s="8" t="s">
        <v>127</v>
      </c>
      <c r="AA53" s="8"/>
      <c r="AB53" s="8" t="s">
        <v>128</v>
      </c>
      <c r="AC53" s="8" t="s">
        <v>64</v>
      </c>
      <c r="AD53" s="8" t="s">
        <v>679</v>
      </c>
      <c r="AE53" s="8" t="s">
        <v>96</v>
      </c>
      <c r="AF53" s="8" t="s">
        <v>114</v>
      </c>
      <c r="AG53" s="8" t="s">
        <v>115</v>
      </c>
      <c r="AH53" s="8" t="s">
        <v>148</v>
      </c>
      <c r="AI53" s="8" t="s">
        <v>100</v>
      </c>
      <c r="AJ53" s="8" t="s">
        <v>149</v>
      </c>
      <c r="AK53" s="8" t="s">
        <v>680</v>
      </c>
      <c r="AL53" s="8" t="s">
        <v>64</v>
      </c>
      <c r="AM53" s="8" t="s">
        <v>681</v>
      </c>
    </row>
    <row r="54" spans="1:39" ht="20.100000000000001" customHeight="1" x14ac:dyDescent="0.25">
      <c r="A54" s="9" t="s">
        <v>682</v>
      </c>
      <c r="B54" s="10" t="s">
        <v>683</v>
      </c>
      <c r="C54" s="10" t="s">
        <v>640</v>
      </c>
      <c r="D54" s="10">
        <v>2024</v>
      </c>
      <c r="E54" s="10" t="s">
        <v>684</v>
      </c>
      <c r="F54" s="10" t="s">
        <v>136</v>
      </c>
      <c r="G54" s="10" t="s">
        <v>50</v>
      </c>
      <c r="H54" s="10" t="s">
        <v>82</v>
      </c>
      <c r="I54" s="10" t="s">
        <v>530</v>
      </c>
      <c r="J54" s="10" t="s">
        <v>138</v>
      </c>
      <c r="K54" s="10" t="s">
        <v>685</v>
      </c>
      <c r="L54" s="10" t="s">
        <v>86</v>
      </c>
      <c r="M54" s="10" t="s">
        <v>686</v>
      </c>
      <c r="N54" s="10" t="s">
        <v>57</v>
      </c>
      <c r="O54" s="10"/>
      <c r="P54" s="10" t="s">
        <v>128</v>
      </c>
      <c r="Q54" s="10" t="s">
        <v>89</v>
      </c>
      <c r="R54" s="10" t="s">
        <v>687</v>
      </c>
      <c r="S54" s="10" t="s">
        <v>90</v>
      </c>
      <c r="T54" s="10" t="s">
        <v>127</v>
      </c>
      <c r="U54" s="10"/>
      <c r="V54" s="10"/>
      <c r="W54" s="10" t="s">
        <v>89</v>
      </c>
      <c r="X54" s="10" t="s">
        <v>146</v>
      </c>
      <c r="Y54" s="10" t="s">
        <v>93</v>
      </c>
      <c r="Z54" s="10" t="s">
        <v>127</v>
      </c>
      <c r="AA54" s="10"/>
      <c r="AB54" s="10" t="s">
        <v>128</v>
      </c>
      <c r="AC54" s="10" t="s">
        <v>64</v>
      </c>
      <c r="AD54" s="10" t="s">
        <v>688</v>
      </c>
      <c r="AE54" s="10" t="s">
        <v>96</v>
      </c>
      <c r="AF54" s="10" t="s">
        <v>114</v>
      </c>
      <c r="AG54" s="10" t="s">
        <v>115</v>
      </c>
      <c r="AH54" s="10" t="s">
        <v>99</v>
      </c>
      <c r="AI54" s="10" t="s">
        <v>100</v>
      </c>
      <c r="AJ54" s="10" t="s">
        <v>149</v>
      </c>
      <c r="AK54" s="10" t="s">
        <v>689</v>
      </c>
      <c r="AL54" s="10" t="s">
        <v>64</v>
      </c>
      <c r="AM54" s="10" t="s">
        <v>690</v>
      </c>
    </row>
    <row r="55" spans="1:39" ht="20.100000000000001" customHeight="1" x14ac:dyDescent="0.25">
      <c r="A55" s="7" t="s">
        <v>691</v>
      </c>
      <c r="B55" s="8" t="s">
        <v>692</v>
      </c>
      <c r="C55" s="8" t="s">
        <v>693</v>
      </c>
      <c r="D55" s="8">
        <v>2025</v>
      </c>
      <c r="E55" s="8" t="s">
        <v>694</v>
      </c>
      <c r="F55" s="8" t="s">
        <v>49</v>
      </c>
      <c r="G55" s="8" t="s">
        <v>50</v>
      </c>
      <c r="H55" s="8" t="s">
        <v>82</v>
      </c>
      <c r="I55" s="8" t="s">
        <v>695</v>
      </c>
      <c r="J55" s="8" t="s">
        <v>84</v>
      </c>
      <c r="K55" s="8" t="s">
        <v>696</v>
      </c>
      <c r="L55" s="8" t="s">
        <v>55</v>
      </c>
      <c r="M55" s="8" t="s">
        <v>697</v>
      </c>
      <c r="N55" s="8" t="s">
        <v>141</v>
      </c>
      <c r="O55" s="8">
        <v>1000</v>
      </c>
      <c r="P55" s="8" t="s">
        <v>88</v>
      </c>
      <c r="Q55" s="8" t="s">
        <v>698</v>
      </c>
      <c r="R55" s="8" t="s">
        <v>699</v>
      </c>
      <c r="S55" s="8" t="s">
        <v>61</v>
      </c>
      <c r="T55" s="8" t="s">
        <v>91</v>
      </c>
      <c r="U55" s="8">
        <v>25</v>
      </c>
      <c r="V55" s="8">
        <v>26</v>
      </c>
      <c r="W55" s="8" t="s">
        <v>92</v>
      </c>
      <c r="X55" s="8" t="s">
        <v>64</v>
      </c>
      <c r="Y55" s="8" t="s">
        <v>147</v>
      </c>
      <c r="Z55" s="8" t="s">
        <v>65</v>
      </c>
      <c r="AA55" s="8">
        <v>80</v>
      </c>
      <c r="AB55" s="8" t="s">
        <v>66</v>
      </c>
      <c r="AC55" s="8" t="s">
        <v>64</v>
      </c>
      <c r="AD55" s="8" t="s">
        <v>700</v>
      </c>
      <c r="AE55" s="8" t="s">
        <v>96</v>
      </c>
      <c r="AF55" s="8" t="s">
        <v>69</v>
      </c>
      <c r="AG55" s="8" t="s">
        <v>70</v>
      </c>
      <c r="AH55" s="8" t="s">
        <v>164</v>
      </c>
      <c r="AI55" s="8" t="s">
        <v>701</v>
      </c>
      <c r="AJ55" s="8" t="s">
        <v>101</v>
      </c>
      <c r="AK55" s="8" t="s">
        <v>702</v>
      </c>
      <c r="AL55" s="8" t="s">
        <v>221</v>
      </c>
      <c r="AM55" s="8" t="s">
        <v>703</v>
      </c>
    </row>
    <row r="56" spans="1:39" ht="20.100000000000001" customHeight="1" x14ac:dyDescent="0.25">
      <c r="A56" s="9" t="s">
        <v>704</v>
      </c>
      <c r="B56" s="10" t="s">
        <v>705</v>
      </c>
      <c r="C56" s="10" t="s">
        <v>573</v>
      </c>
      <c r="D56" s="10">
        <v>2018</v>
      </c>
      <c r="E56" s="10" t="s">
        <v>706</v>
      </c>
      <c r="F56" s="10" t="s">
        <v>136</v>
      </c>
      <c r="G56" s="10" t="s">
        <v>137</v>
      </c>
      <c r="H56" s="10" t="s">
        <v>107</v>
      </c>
      <c r="I56" s="10" t="s">
        <v>575</v>
      </c>
      <c r="J56" s="10" t="s">
        <v>53</v>
      </c>
      <c r="K56" s="10" t="s">
        <v>707</v>
      </c>
      <c r="L56" s="10" t="s">
        <v>55</v>
      </c>
      <c r="M56" s="10" t="s">
        <v>708</v>
      </c>
      <c r="N56" s="10" t="s">
        <v>141</v>
      </c>
      <c r="O56" s="10">
        <v>1000</v>
      </c>
      <c r="P56" s="10" t="s">
        <v>88</v>
      </c>
      <c r="Q56" s="10" t="s">
        <v>709</v>
      </c>
      <c r="R56" s="10" t="s">
        <v>710</v>
      </c>
      <c r="S56" s="10" t="s">
        <v>61</v>
      </c>
      <c r="T56" s="10" t="s">
        <v>62</v>
      </c>
      <c r="U56" s="10"/>
      <c r="V56" s="10"/>
      <c r="W56" s="10" t="s">
        <v>63</v>
      </c>
      <c r="X56" s="10" t="s">
        <v>64</v>
      </c>
      <c r="Y56" s="10" t="s">
        <v>111</v>
      </c>
      <c r="Z56" s="10" t="s">
        <v>65</v>
      </c>
      <c r="AA56" s="10">
        <v>34</v>
      </c>
      <c r="AB56" s="10" t="s">
        <v>66</v>
      </c>
      <c r="AC56" s="10" t="s">
        <v>185</v>
      </c>
      <c r="AD56" s="10" t="s">
        <v>711</v>
      </c>
      <c r="AE56" s="10" t="s">
        <v>167</v>
      </c>
      <c r="AF56" s="10" t="s">
        <v>97</v>
      </c>
      <c r="AG56" s="10" t="s">
        <v>115</v>
      </c>
      <c r="AH56" s="10" t="s">
        <v>148</v>
      </c>
      <c r="AI56" s="10" t="s">
        <v>100</v>
      </c>
      <c r="AJ56" s="10" t="s">
        <v>73</v>
      </c>
      <c r="AK56" s="10" t="s">
        <v>712</v>
      </c>
      <c r="AL56" s="10" t="s">
        <v>64</v>
      </c>
      <c r="AM56" s="10" t="s">
        <v>713</v>
      </c>
    </row>
    <row r="57" spans="1:39" ht="20.100000000000001" customHeight="1" x14ac:dyDescent="0.25">
      <c r="A57" s="7" t="s">
        <v>714</v>
      </c>
      <c r="B57" s="8" t="s">
        <v>715</v>
      </c>
      <c r="C57" s="8" t="s">
        <v>716</v>
      </c>
      <c r="D57" s="8">
        <v>2023</v>
      </c>
      <c r="E57" s="8" t="s">
        <v>717</v>
      </c>
      <c r="F57" s="8" t="s">
        <v>285</v>
      </c>
      <c r="G57" s="8" t="s">
        <v>50</v>
      </c>
      <c r="H57" s="8" t="s">
        <v>82</v>
      </c>
      <c r="I57" s="8" t="s">
        <v>83</v>
      </c>
      <c r="J57" s="8" t="s">
        <v>84</v>
      </c>
      <c r="K57" s="8" t="s">
        <v>718</v>
      </c>
      <c r="L57" s="8" t="s">
        <v>160</v>
      </c>
      <c r="M57" s="8" t="s">
        <v>719</v>
      </c>
      <c r="N57" s="8" t="s">
        <v>127</v>
      </c>
      <c r="O57" s="8"/>
      <c r="P57" s="8" t="s">
        <v>128</v>
      </c>
      <c r="Q57" s="8" t="s">
        <v>89</v>
      </c>
      <c r="R57" s="8" t="s">
        <v>720</v>
      </c>
      <c r="S57" s="8" t="s">
        <v>90</v>
      </c>
      <c r="T57" s="8" t="s">
        <v>62</v>
      </c>
      <c r="U57" s="8">
        <v>-0.5</v>
      </c>
      <c r="V57" s="8">
        <v>0.5</v>
      </c>
      <c r="W57" s="8" t="s">
        <v>63</v>
      </c>
      <c r="X57" s="8" t="s">
        <v>64</v>
      </c>
      <c r="Y57" s="8" t="s">
        <v>93</v>
      </c>
      <c r="Z57" s="8" t="s">
        <v>127</v>
      </c>
      <c r="AA57" s="8">
        <v>18.600000000000001</v>
      </c>
      <c r="AB57" s="8" t="s">
        <v>94</v>
      </c>
      <c r="AC57" s="8" t="s">
        <v>64</v>
      </c>
      <c r="AD57" s="8" t="s">
        <v>721</v>
      </c>
      <c r="AE57" s="8" t="s">
        <v>68</v>
      </c>
      <c r="AF57" s="8" t="s">
        <v>326</v>
      </c>
      <c r="AG57" s="8" t="s">
        <v>115</v>
      </c>
      <c r="AH57" s="8" t="s">
        <v>116</v>
      </c>
      <c r="AI57" s="8" t="s">
        <v>72</v>
      </c>
      <c r="AJ57" s="8" t="s">
        <v>101</v>
      </c>
      <c r="AK57" s="8" t="s">
        <v>722</v>
      </c>
      <c r="AL57" s="8" t="s">
        <v>64</v>
      </c>
      <c r="AM57" s="8" t="s">
        <v>723</v>
      </c>
    </row>
    <row r="58" spans="1:39" ht="20.100000000000001" customHeight="1" x14ac:dyDescent="0.25">
      <c r="A58" s="9" t="s">
        <v>724</v>
      </c>
      <c r="B58" s="10" t="s">
        <v>725</v>
      </c>
      <c r="C58" s="10" t="s">
        <v>726</v>
      </c>
      <c r="D58" s="10">
        <v>2017</v>
      </c>
      <c r="E58" s="10" t="s">
        <v>727</v>
      </c>
      <c r="F58" s="10" t="s">
        <v>728</v>
      </c>
      <c r="G58" s="10" t="s">
        <v>50</v>
      </c>
      <c r="H58" s="10" t="s">
        <v>378</v>
      </c>
      <c r="I58" s="10" t="s">
        <v>484</v>
      </c>
      <c r="J58" s="10" t="s">
        <v>84</v>
      </c>
      <c r="K58" s="10" t="s">
        <v>729</v>
      </c>
      <c r="L58" s="10" t="s">
        <v>86</v>
      </c>
      <c r="M58" s="10" t="s">
        <v>730</v>
      </c>
      <c r="N58" s="10" t="s">
        <v>127</v>
      </c>
      <c r="O58" s="10"/>
      <c r="P58" s="10" t="s">
        <v>128</v>
      </c>
      <c r="Q58" s="10" t="s">
        <v>731</v>
      </c>
      <c r="R58" s="10" t="s">
        <v>90</v>
      </c>
      <c r="S58" s="10" t="s">
        <v>61</v>
      </c>
      <c r="T58" s="10" t="s">
        <v>91</v>
      </c>
      <c r="U58" s="10"/>
      <c r="V58" s="10"/>
      <c r="W58" s="10" t="s">
        <v>301</v>
      </c>
      <c r="X58" s="10" t="s">
        <v>64</v>
      </c>
      <c r="Y58" s="10" t="s">
        <v>111</v>
      </c>
      <c r="Z58" s="10" t="s">
        <v>65</v>
      </c>
      <c r="AA58" s="10">
        <v>32</v>
      </c>
      <c r="AB58" s="10" t="s">
        <v>66</v>
      </c>
      <c r="AC58" s="10" t="s">
        <v>64</v>
      </c>
      <c r="AD58" s="10" t="s">
        <v>732</v>
      </c>
      <c r="AE58" s="10" t="s">
        <v>96</v>
      </c>
      <c r="AF58" s="10" t="s">
        <v>733</v>
      </c>
      <c r="AG58" s="10" t="s">
        <v>98</v>
      </c>
      <c r="AH58" s="10" t="s">
        <v>148</v>
      </c>
      <c r="AI58" s="10" t="s">
        <v>100</v>
      </c>
      <c r="AJ58" s="10" t="s">
        <v>101</v>
      </c>
      <c r="AK58" s="10" t="s">
        <v>734</v>
      </c>
      <c r="AL58" s="10" t="s">
        <v>64</v>
      </c>
      <c r="AM58" s="10" t="s">
        <v>735</v>
      </c>
    </row>
    <row r="59" spans="1:39" ht="20.100000000000001" customHeight="1" x14ac:dyDescent="0.25">
      <c r="A59" s="7" t="s">
        <v>736</v>
      </c>
      <c r="B59" s="8" t="s">
        <v>737</v>
      </c>
      <c r="C59" s="8" t="s">
        <v>738</v>
      </c>
      <c r="D59" s="8">
        <v>2026</v>
      </c>
      <c r="E59" s="8" t="s">
        <v>739</v>
      </c>
      <c r="F59" s="8" t="s">
        <v>310</v>
      </c>
      <c r="G59" s="8" t="s">
        <v>50</v>
      </c>
      <c r="H59" s="8" t="s">
        <v>164</v>
      </c>
      <c r="I59" s="8" t="s">
        <v>740</v>
      </c>
      <c r="J59" s="8" t="s">
        <v>84</v>
      </c>
      <c r="K59" s="8" t="s">
        <v>159</v>
      </c>
      <c r="L59" s="8" t="s">
        <v>55</v>
      </c>
      <c r="M59" s="8" t="s">
        <v>741</v>
      </c>
      <c r="N59" s="8" t="s">
        <v>127</v>
      </c>
      <c r="O59" s="8">
        <v>1000</v>
      </c>
      <c r="P59" s="8" t="s">
        <v>128</v>
      </c>
      <c r="Q59" s="8" t="s">
        <v>742</v>
      </c>
      <c r="R59" s="8" t="s">
        <v>743</v>
      </c>
      <c r="S59" s="8" t="s">
        <v>61</v>
      </c>
      <c r="T59" s="8" t="s">
        <v>91</v>
      </c>
      <c r="U59" s="8">
        <v>20</v>
      </c>
      <c r="V59" s="8">
        <v>26</v>
      </c>
      <c r="W59" s="8" t="s">
        <v>301</v>
      </c>
      <c r="X59" s="8" t="s">
        <v>64</v>
      </c>
      <c r="Y59" s="8" t="s">
        <v>58</v>
      </c>
      <c r="Z59" s="8" t="s">
        <v>207</v>
      </c>
      <c r="AA59" s="8">
        <v>29</v>
      </c>
      <c r="AB59" s="8" t="s">
        <v>66</v>
      </c>
      <c r="AC59" s="8" t="s">
        <v>64</v>
      </c>
      <c r="AD59" s="8" t="s">
        <v>744</v>
      </c>
      <c r="AE59" s="8" t="s">
        <v>96</v>
      </c>
      <c r="AF59" s="8" t="s">
        <v>97</v>
      </c>
      <c r="AG59" s="8" t="s">
        <v>115</v>
      </c>
      <c r="AH59" s="8" t="s">
        <v>148</v>
      </c>
      <c r="AI59" s="8" t="s">
        <v>100</v>
      </c>
      <c r="AJ59" s="8" t="s">
        <v>101</v>
      </c>
      <c r="AK59" s="8" t="s">
        <v>745</v>
      </c>
      <c r="AL59" s="8" t="s">
        <v>221</v>
      </c>
      <c r="AM59" s="8" t="s">
        <v>746</v>
      </c>
    </row>
    <row r="60" spans="1:39" ht="20.100000000000001" customHeight="1" x14ac:dyDescent="0.25">
      <c r="A60" s="9" t="s">
        <v>747</v>
      </c>
      <c r="B60" s="10" t="s">
        <v>748</v>
      </c>
      <c r="C60" s="10" t="s">
        <v>749</v>
      </c>
      <c r="D60" s="10">
        <v>2025</v>
      </c>
      <c r="E60" s="10" t="s">
        <v>750</v>
      </c>
      <c r="F60" s="10" t="s">
        <v>271</v>
      </c>
      <c r="G60" s="10" t="s">
        <v>81</v>
      </c>
      <c r="H60" s="10" t="s">
        <v>82</v>
      </c>
      <c r="I60" s="10" t="s">
        <v>751</v>
      </c>
      <c r="J60" s="10" t="s">
        <v>84</v>
      </c>
      <c r="K60" s="10" t="s">
        <v>752</v>
      </c>
      <c r="L60" s="10" t="s">
        <v>55</v>
      </c>
      <c r="M60" s="10" t="s">
        <v>753</v>
      </c>
      <c r="N60" s="10" t="s">
        <v>141</v>
      </c>
      <c r="O60" s="10">
        <v>1000</v>
      </c>
      <c r="P60" s="10" t="s">
        <v>88</v>
      </c>
      <c r="Q60" s="10" t="s">
        <v>754</v>
      </c>
      <c r="R60" s="10" t="s">
        <v>755</v>
      </c>
      <c r="S60" s="10" t="s">
        <v>145</v>
      </c>
      <c r="T60" s="10" t="s">
        <v>62</v>
      </c>
      <c r="U60" s="10">
        <v>33.1</v>
      </c>
      <c r="V60" s="10">
        <v>34.1</v>
      </c>
      <c r="W60" s="10" t="s">
        <v>92</v>
      </c>
      <c r="X60" s="10" t="s">
        <v>64</v>
      </c>
      <c r="Y60" s="10" t="s">
        <v>147</v>
      </c>
      <c r="Z60" s="10" t="s">
        <v>65</v>
      </c>
      <c r="AA60" s="10"/>
      <c r="AB60" s="10" t="s">
        <v>94</v>
      </c>
      <c r="AC60" s="10" t="s">
        <v>64</v>
      </c>
      <c r="AD60" s="10" t="s">
        <v>756</v>
      </c>
      <c r="AE60" s="10" t="s">
        <v>167</v>
      </c>
      <c r="AF60" s="10" t="s">
        <v>757</v>
      </c>
      <c r="AG60" s="10" t="s">
        <v>70</v>
      </c>
      <c r="AH60" s="10" t="s">
        <v>116</v>
      </c>
      <c r="AI60" s="10" t="s">
        <v>100</v>
      </c>
      <c r="AJ60" s="10" t="s">
        <v>101</v>
      </c>
      <c r="AK60" s="10" t="s">
        <v>758</v>
      </c>
      <c r="AL60" s="10" t="s">
        <v>64</v>
      </c>
      <c r="AM60" s="10" t="s">
        <v>759</v>
      </c>
    </row>
    <row r="61" spans="1:39" ht="20.100000000000001" customHeight="1" x14ac:dyDescent="0.25">
      <c r="A61" s="7" t="s">
        <v>760</v>
      </c>
      <c r="B61" s="8" t="s">
        <v>761</v>
      </c>
      <c r="C61" s="8" t="s">
        <v>762</v>
      </c>
      <c r="D61" s="8">
        <v>2022</v>
      </c>
      <c r="E61" s="8" t="s">
        <v>763</v>
      </c>
      <c r="F61" s="8" t="s">
        <v>764</v>
      </c>
      <c r="G61" s="8" t="s">
        <v>81</v>
      </c>
      <c r="H61" s="8" t="s">
        <v>378</v>
      </c>
      <c r="I61" s="8" t="s">
        <v>765</v>
      </c>
      <c r="J61" s="8" t="s">
        <v>84</v>
      </c>
      <c r="K61" s="8" t="s">
        <v>766</v>
      </c>
      <c r="L61" s="8" t="s">
        <v>86</v>
      </c>
      <c r="M61" s="8" t="s">
        <v>767</v>
      </c>
      <c r="N61" s="8" t="s">
        <v>141</v>
      </c>
      <c r="O61" s="8">
        <v>1000</v>
      </c>
      <c r="P61" s="8" t="s">
        <v>88</v>
      </c>
      <c r="Q61" s="8" t="s">
        <v>768</v>
      </c>
      <c r="R61" s="8" t="s">
        <v>769</v>
      </c>
      <c r="S61" s="8" t="s">
        <v>61</v>
      </c>
      <c r="T61" s="8" t="s">
        <v>206</v>
      </c>
      <c r="U61" s="8"/>
      <c r="V61" s="8"/>
      <c r="W61" s="8" t="s">
        <v>301</v>
      </c>
      <c r="X61" s="8" t="s">
        <v>64</v>
      </c>
      <c r="Y61" s="8" t="s">
        <v>93</v>
      </c>
      <c r="Z61" s="8" t="s">
        <v>65</v>
      </c>
      <c r="AA61" s="8">
        <v>78</v>
      </c>
      <c r="AB61" s="8" t="s">
        <v>66</v>
      </c>
      <c r="AC61" s="8" t="s">
        <v>64</v>
      </c>
      <c r="AD61" s="8" t="s">
        <v>770</v>
      </c>
      <c r="AE61" s="8" t="s">
        <v>68</v>
      </c>
      <c r="AF61" s="8" t="s">
        <v>260</v>
      </c>
      <c r="AG61" s="8" t="s">
        <v>70</v>
      </c>
      <c r="AH61" s="8" t="s">
        <v>164</v>
      </c>
      <c r="AI61" s="8" t="s">
        <v>100</v>
      </c>
      <c r="AJ61" s="8" t="s">
        <v>101</v>
      </c>
      <c r="AK61" s="8" t="s">
        <v>771</v>
      </c>
      <c r="AL61" s="8" t="s">
        <v>64</v>
      </c>
      <c r="AM61" s="8" t="s">
        <v>772</v>
      </c>
    </row>
    <row r="62" spans="1:39" ht="20.100000000000001" customHeight="1" x14ac:dyDescent="0.25">
      <c r="A62" s="9" t="s">
        <v>773</v>
      </c>
      <c r="B62" s="10" t="s">
        <v>774</v>
      </c>
      <c r="C62" s="10" t="s">
        <v>775</v>
      </c>
      <c r="D62" s="10">
        <v>2016</v>
      </c>
      <c r="E62" s="10" t="s">
        <v>776</v>
      </c>
      <c r="F62" s="10" t="s">
        <v>251</v>
      </c>
      <c r="G62" s="10" t="s">
        <v>50</v>
      </c>
      <c r="H62" s="10" t="s">
        <v>82</v>
      </c>
      <c r="I62" s="10" t="s">
        <v>777</v>
      </c>
      <c r="J62" s="10" t="s">
        <v>84</v>
      </c>
      <c r="K62" s="10" t="s">
        <v>778</v>
      </c>
      <c r="L62" s="10" t="s">
        <v>86</v>
      </c>
      <c r="M62" s="10" t="s">
        <v>779</v>
      </c>
      <c r="N62" s="10" t="s">
        <v>57</v>
      </c>
      <c r="O62" s="10"/>
      <c r="P62" s="10" t="s">
        <v>88</v>
      </c>
      <c r="Q62" s="10" t="s">
        <v>780</v>
      </c>
      <c r="R62" s="10" t="s">
        <v>781</v>
      </c>
      <c r="S62" s="10" t="s">
        <v>90</v>
      </c>
      <c r="T62" s="10" t="s">
        <v>91</v>
      </c>
      <c r="U62" s="10">
        <v>0.5</v>
      </c>
      <c r="V62" s="10">
        <v>1</v>
      </c>
      <c r="W62" s="10" t="s">
        <v>89</v>
      </c>
      <c r="X62" s="10" t="s">
        <v>64</v>
      </c>
      <c r="Y62" s="10" t="s">
        <v>111</v>
      </c>
      <c r="Z62" s="10" t="s">
        <v>127</v>
      </c>
      <c r="AA62" s="10"/>
      <c r="AB62" s="10" t="s">
        <v>128</v>
      </c>
      <c r="AC62" s="10" t="s">
        <v>64</v>
      </c>
      <c r="AD62" s="10" t="s">
        <v>782</v>
      </c>
      <c r="AE62" s="10" t="s">
        <v>96</v>
      </c>
      <c r="AF62" s="10" t="s">
        <v>97</v>
      </c>
      <c r="AG62" s="10" t="s">
        <v>115</v>
      </c>
      <c r="AH62" s="10" t="s">
        <v>99</v>
      </c>
      <c r="AI62" s="10" t="s">
        <v>100</v>
      </c>
      <c r="AJ62" s="10" t="s">
        <v>101</v>
      </c>
      <c r="AK62" s="10" t="s">
        <v>783</v>
      </c>
      <c r="AL62" s="10" t="s">
        <v>64</v>
      </c>
      <c r="AM62" s="10" t="s">
        <v>784</v>
      </c>
    </row>
    <row r="63" spans="1:39" ht="20.100000000000001" customHeight="1" x14ac:dyDescent="0.25">
      <c r="A63" s="7" t="s">
        <v>785</v>
      </c>
      <c r="B63" s="8" t="s">
        <v>786</v>
      </c>
      <c r="C63" s="8" t="s">
        <v>787</v>
      </c>
      <c r="D63" s="8">
        <v>2025</v>
      </c>
      <c r="E63" s="8" t="s">
        <v>788</v>
      </c>
      <c r="F63" s="8" t="s">
        <v>49</v>
      </c>
      <c r="G63" s="8" t="s">
        <v>137</v>
      </c>
      <c r="H63" s="8" t="s">
        <v>164</v>
      </c>
      <c r="I63" s="8" t="s">
        <v>789</v>
      </c>
      <c r="J63" s="8" t="s">
        <v>84</v>
      </c>
      <c r="K63" s="8" t="s">
        <v>790</v>
      </c>
      <c r="L63" s="8" t="s">
        <v>86</v>
      </c>
      <c r="M63" s="8" t="s">
        <v>791</v>
      </c>
      <c r="N63" s="8" t="s">
        <v>141</v>
      </c>
      <c r="O63" s="8">
        <v>1350</v>
      </c>
      <c r="P63" s="8" t="s">
        <v>88</v>
      </c>
      <c r="Q63" s="8" t="s">
        <v>792</v>
      </c>
      <c r="R63" s="8" t="s">
        <v>793</v>
      </c>
      <c r="S63" s="8" t="s">
        <v>145</v>
      </c>
      <c r="T63" s="8" t="s">
        <v>62</v>
      </c>
      <c r="U63" s="8"/>
      <c r="V63" s="8">
        <v>25</v>
      </c>
      <c r="W63" s="8" t="s">
        <v>301</v>
      </c>
      <c r="X63" s="8" t="s">
        <v>64</v>
      </c>
      <c r="Y63" s="8" t="s">
        <v>93</v>
      </c>
      <c r="Z63" s="8" t="s">
        <v>65</v>
      </c>
      <c r="AA63" s="8">
        <v>57</v>
      </c>
      <c r="AB63" s="8" t="s">
        <v>66</v>
      </c>
      <c r="AC63" s="8" t="s">
        <v>64</v>
      </c>
      <c r="AD63" s="8" t="s">
        <v>794</v>
      </c>
      <c r="AE63" s="8" t="s">
        <v>167</v>
      </c>
      <c r="AF63" s="8" t="s">
        <v>69</v>
      </c>
      <c r="AG63" s="8" t="s">
        <v>70</v>
      </c>
      <c r="AH63" s="8" t="s">
        <v>148</v>
      </c>
      <c r="AI63" s="8" t="s">
        <v>100</v>
      </c>
      <c r="AJ63" s="8" t="s">
        <v>101</v>
      </c>
      <c r="AK63" s="8" t="s">
        <v>795</v>
      </c>
      <c r="AL63" s="8" t="s">
        <v>64</v>
      </c>
      <c r="AM63" s="8" t="s">
        <v>796</v>
      </c>
    </row>
    <row r="64" spans="1:39" ht="20.100000000000001" customHeight="1" x14ac:dyDescent="0.25">
      <c r="A64" s="9" t="s">
        <v>797</v>
      </c>
      <c r="B64" s="10" t="s">
        <v>798</v>
      </c>
      <c r="C64" s="10" t="s">
        <v>799</v>
      </c>
      <c r="D64" s="10">
        <v>2020</v>
      </c>
      <c r="E64" s="10" t="s">
        <v>800</v>
      </c>
      <c r="F64" s="10" t="s">
        <v>801</v>
      </c>
      <c r="G64" s="10" t="s">
        <v>50</v>
      </c>
      <c r="H64" s="10" t="s">
        <v>107</v>
      </c>
      <c r="I64" s="10" t="s">
        <v>777</v>
      </c>
      <c r="J64" s="10" t="s">
        <v>53</v>
      </c>
      <c r="K64" s="10" t="s">
        <v>802</v>
      </c>
      <c r="L64" s="10" t="s">
        <v>55</v>
      </c>
      <c r="M64" s="10" t="s">
        <v>803</v>
      </c>
      <c r="N64" s="10" t="s">
        <v>57</v>
      </c>
      <c r="O64" s="10"/>
      <c r="P64" s="10" t="s">
        <v>128</v>
      </c>
      <c r="Q64" s="10" t="s">
        <v>804</v>
      </c>
      <c r="R64" s="10" t="s">
        <v>805</v>
      </c>
      <c r="S64" s="10" t="s">
        <v>90</v>
      </c>
      <c r="T64" s="10" t="s">
        <v>91</v>
      </c>
      <c r="U64" s="10"/>
      <c r="V64" s="10"/>
      <c r="W64" s="10" t="s">
        <v>92</v>
      </c>
      <c r="X64" s="10" t="s">
        <v>64</v>
      </c>
      <c r="Y64" s="10" t="s">
        <v>111</v>
      </c>
      <c r="Z64" s="10" t="s">
        <v>112</v>
      </c>
      <c r="AA64" s="10">
        <v>30</v>
      </c>
      <c r="AB64" s="10" t="s">
        <v>66</v>
      </c>
      <c r="AC64" s="10" t="s">
        <v>64</v>
      </c>
      <c r="AD64" s="10" t="s">
        <v>806</v>
      </c>
      <c r="AE64" s="10" t="s">
        <v>96</v>
      </c>
      <c r="AF64" s="10" t="s">
        <v>97</v>
      </c>
      <c r="AG64" s="10" t="s">
        <v>115</v>
      </c>
      <c r="AH64" s="10" t="s">
        <v>99</v>
      </c>
      <c r="AI64" s="10" t="s">
        <v>100</v>
      </c>
      <c r="AJ64" s="10" t="s">
        <v>101</v>
      </c>
      <c r="AK64" s="10" t="s">
        <v>807</v>
      </c>
      <c r="AL64" s="10" t="s">
        <v>64</v>
      </c>
      <c r="AM64" s="10" t="s">
        <v>808</v>
      </c>
    </row>
    <row r="65" spans="1:39" ht="20.100000000000001" customHeight="1" x14ac:dyDescent="0.25">
      <c r="A65" s="7" t="s">
        <v>809</v>
      </c>
      <c r="B65" s="8" t="s">
        <v>810</v>
      </c>
      <c r="C65" s="8" t="s">
        <v>811</v>
      </c>
      <c r="D65" s="8">
        <v>2025</v>
      </c>
      <c r="E65" s="8" t="s">
        <v>812</v>
      </c>
      <c r="F65" s="8" t="s">
        <v>310</v>
      </c>
      <c r="G65" s="8" t="s">
        <v>81</v>
      </c>
      <c r="H65" s="8" t="s">
        <v>107</v>
      </c>
      <c r="I65" s="8" t="s">
        <v>83</v>
      </c>
      <c r="J65" s="8" t="s">
        <v>84</v>
      </c>
      <c r="K65" s="8" t="s">
        <v>813</v>
      </c>
      <c r="L65" s="8" t="s">
        <v>86</v>
      </c>
      <c r="M65" s="8" t="s">
        <v>814</v>
      </c>
      <c r="N65" s="8" t="s">
        <v>141</v>
      </c>
      <c r="O65" s="8">
        <v>1000</v>
      </c>
      <c r="P65" s="8" t="s">
        <v>88</v>
      </c>
      <c r="Q65" s="8" t="s">
        <v>435</v>
      </c>
      <c r="R65" s="8" t="s">
        <v>815</v>
      </c>
      <c r="S65" s="8" t="s">
        <v>145</v>
      </c>
      <c r="T65" s="8" t="s">
        <v>62</v>
      </c>
      <c r="U65" s="8">
        <v>-0.5</v>
      </c>
      <c r="V65" s="8">
        <v>0.5</v>
      </c>
      <c r="W65" s="8" t="s">
        <v>163</v>
      </c>
      <c r="X65" s="8" t="s">
        <v>64</v>
      </c>
      <c r="Y65" s="8" t="s">
        <v>111</v>
      </c>
      <c r="Z65" s="8" t="s">
        <v>65</v>
      </c>
      <c r="AA65" s="8">
        <v>9.6</v>
      </c>
      <c r="AB65" s="8" t="s">
        <v>66</v>
      </c>
      <c r="AC65" s="8" t="s">
        <v>64</v>
      </c>
      <c r="AD65" s="8" t="s">
        <v>816</v>
      </c>
      <c r="AE65" s="8" t="s">
        <v>339</v>
      </c>
      <c r="AF65" s="8" t="s">
        <v>164</v>
      </c>
      <c r="AG65" s="8" t="s">
        <v>70</v>
      </c>
      <c r="AH65" s="8" t="s">
        <v>116</v>
      </c>
      <c r="AI65" s="8" t="s">
        <v>100</v>
      </c>
      <c r="AJ65" s="8" t="s">
        <v>101</v>
      </c>
      <c r="AK65" s="8" t="s">
        <v>817</v>
      </c>
      <c r="AL65" s="8" t="s">
        <v>64</v>
      </c>
      <c r="AM65" s="8" t="s">
        <v>818</v>
      </c>
    </row>
    <row r="66" spans="1:39" ht="20.100000000000001" customHeight="1" x14ac:dyDescent="0.25">
      <c r="A66" s="9" t="s">
        <v>819</v>
      </c>
      <c r="B66" s="10" t="s">
        <v>820</v>
      </c>
      <c r="C66" s="10" t="s">
        <v>821</v>
      </c>
      <c r="D66" s="10">
        <v>2020</v>
      </c>
      <c r="E66" s="10" t="s">
        <v>822</v>
      </c>
      <c r="F66" s="10" t="s">
        <v>823</v>
      </c>
      <c r="G66" s="10" t="s">
        <v>50</v>
      </c>
      <c r="H66" s="10" t="s">
        <v>51</v>
      </c>
      <c r="I66" s="10" t="s">
        <v>52</v>
      </c>
      <c r="J66" s="10" t="s">
        <v>53</v>
      </c>
      <c r="K66" s="10" t="s">
        <v>824</v>
      </c>
      <c r="L66" s="10" t="s">
        <v>55</v>
      </c>
      <c r="M66" s="10" t="s">
        <v>825</v>
      </c>
      <c r="N66" s="10" t="s">
        <v>565</v>
      </c>
      <c r="O66" s="10"/>
      <c r="P66" s="10" t="s">
        <v>128</v>
      </c>
      <c r="Q66" s="10" t="s">
        <v>826</v>
      </c>
      <c r="R66" s="10" t="s">
        <v>827</v>
      </c>
      <c r="S66" s="10" t="s">
        <v>145</v>
      </c>
      <c r="T66" s="10" t="s">
        <v>91</v>
      </c>
      <c r="U66" s="10"/>
      <c r="V66" s="10"/>
      <c r="W66" s="10" t="s">
        <v>92</v>
      </c>
      <c r="X66" s="10" t="s">
        <v>64</v>
      </c>
      <c r="Y66" s="10" t="s">
        <v>111</v>
      </c>
      <c r="Z66" s="10" t="s">
        <v>112</v>
      </c>
      <c r="AA66" s="10">
        <v>26</v>
      </c>
      <c r="AB66" s="10" t="s">
        <v>66</v>
      </c>
      <c r="AC66" s="10" t="s">
        <v>64</v>
      </c>
      <c r="AD66" s="10" t="s">
        <v>828</v>
      </c>
      <c r="AE66" s="10" t="s">
        <v>96</v>
      </c>
      <c r="AF66" s="10" t="s">
        <v>69</v>
      </c>
      <c r="AG66" s="10" t="s">
        <v>70</v>
      </c>
      <c r="AH66" s="10" t="s">
        <v>164</v>
      </c>
      <c r="AI66" s="10" t="s">
        <v>100</v>
      </c>
      <c r="AJ66" s="10" t="s">
        <v>73</v>
      </c>
      <c r="AK66" s="10" t="s">
        <v>829</v>
      </c>
      <c r="AL66" s="10" t="s">
        <v>64</v>
      </c>
      <c r="AM66" s="10" t="s">
        <v>830</v>
      </c>
    </row>
    <row r="67" spans="1:39" ht="20.100000000000001" customHeight="1" x14ac:dyDescent="0.25">
      <c r="A67" s="7" t="s">
        <v>831</v>
      </c>
      <c r="B67" s="8" t="s">
        <v>832</v>
      </c>
      <c r="C67" s="8" t="s">
        <v>833</v>
      </c>
      <c r="D67" s="8">
        <v>2022</v>
      </c>
      <c r="E67" s="8" t="s">
        <v>834</v>
      </c>
      <c r="F67" s="8" t="s">
        <v>835</v>
      </c>
      <c r="G67" s="8" t="s">
        <v>137</v>
      </c>
      <c r="H67" s="8" t="s">
        <v>157</v>
      </c>
      <c r="I67" s="8" t="s">
        <v>83</v>
      </c>
      <c r="J67" s="8" t="s">
        <v>53</v>
      </c>
      <c r="K67" s="8" t="s">
        <v>836</v>
      </c>
      <c r="L67" s="8" t="s">
        <v>55</v>
      </c>
      <c r="M67" s="8" t="s">
        <v>837</v>
      </c>
      <c r="N67" s="8" t="s">
        <v>141</v>
      </c>
      <c r="O67" s="8">
        <v>1500</v>
      </c>
      <c r="P67" s="8" t="s">
        <v>58</v>
      </c>
      <c r="Q67" s="8" t="s">
        <v>838</v>
      </c>
      <c r="R67" s="8" t="s">
        <v>839</v>
      </c>
      <c r="S67" s="8" t="s">
        <v>145</v>
      </c>
      <c r="T67" s="8" t="s">
        <v>62</v>
      </c>
      <c r="U67" s="8">
        <v>-0.5</v>
      </c>
      <c r="V67" s="8">
        <v>0.5</v>
      </c>
      <c r="W67" s="8" t="s">
        <v>163</v>
      </c>
      <c r="X67" s="8" t="s">
        <v>64</v>
      </c>
      <c r="Y67" s="8" t="s">
        <v>147</v>
      </c>
      <c r="Z67" s="8" t="s">
        <v>112</v>
      </c>
      <c r="AA67" s="8">
        <v>46</v>
      </c>
      <c r="AB67" s="8" t="s">
        <v>66</v>
      </c>
      <c r="AC67" s="8" t="s">
        <v>185</v>
      </c>
      <c r="AD67" s="8" t="s">
        <v>840</v>
      </c>
      <c r="AE67" s="8" t="s">
        <v>167</v>
      </c>
      <c r="AF67" s="8" t="s">
        <v>97</v>
      </c>
      <c r="AG67" s="8" t="s">
        <v>115</v>
      </c>
      <c r="AH67" s="8" t="s">
        <v>116</v>
      </c>
      <c r="AI67" s="8" t="s">
        <v>100</v>
      </c>
      <c r="AJ67" s="8" t="s">
        <v>73</v>
      </c>
      <c r="AK67" s="8" t="s">
        <v>841</v>
      </c>
      <c r="AL67" s="8" t="s">
        <v>64</v>
      </c>
      <c r="AM67" s="8" t="s">
        <v>842</v>
      </c>
    </row>
    <row r="68" spans="1:39" ht="20.100000000000001" customHeight="1" x14ac:dyDescent="0.25">
      <c r="A68" s="9" t="s">
        <v>843</v>
      </c>
      <c r="B68" s="10" t="s">
        <v>844</v>
      </c>
      <c r="C68" s="10" t="s">
        <v>845</v>
      </c>
      <c r="D68" s="10">
        <v>2024</v>
      </c>
      <c r="E68" s="10" t="s">
        <v>846</v>
      </c>
      <c r="F68" s="10" t="s">
        <v>136</v>
      </c>
      <c r="G68" s="10" t="s">
        <v>137</v>
      </c>
      <c r="H68" s="10" t="s">
        <v>445</v>
      </c>
      <c r="I68" s="10" t="s">
        <v>83</v>
      </c>
      <c r="J68" s="10" t="s">
        <v>53</v>
      </c>
      <c r="K68" s="10" t="s">
        <v>847</v>
      </c>
      <c r="L68" s="10" t="s">
        <v>55</v>
      </c>
      <c r="M68" s="10" t="s">
        <v>848</v>
      </c>
      <c r="N68" s="10" t="s">
        <v>141</v>
      </c>
      <c r="O68" s="10">
        <v>1000</v>
      </c>
      <c r="P68" s="10" t="s">
        <v>58</v>
      </c>
      <c r="Q68" s="10" t="s">
        <v>849</v>
      </c>
      <c r="R68" s="10" t="s">
        <v>850</v>
      </c>
      <c r="S68" s="10" t="s">
        <v>145</v>
      </c>
      <c r="T68" s="10" t="s">
        <v>62</v>
      </c>
      <c r="U68" s="10">
        <v>-0.5</v>
      </c>
      <c r="V68" s="10">
        <v>0.5</v>
      </c>
      <c r="W68" s="10" t="s">
        <v>163</v>
      </c>
      <c r="X68" s="10" t="s">
        <v>64</v>
      </c>
      <c r="Y68" s="10" t="s">
        <v>147</v>
      </c>
      <c r="Z68" s="10" t="s">
        <v>127</v>
      </c>
      <c r="AA68" s="10"/>
      <c r="AB68" s="10" t="s">
        <v>128</v>
      </c>
      <c r="AC68" s="10" t="s">
        <v>64</v>
      </c>
      <c r="AD68" s="10" t="s">
        <v>851</v>
      </c>
      <c r="AE68" s="10" t="s">
        <v>96</v>
      </c>
      <c r="AF68" s="10" t="s">
        <v>97</v>
      </c>
      <c r="AG68" s="10" t="s">
        <v>115</v>
      </c>
      <c r="AH68" s="10" t="s">
        <v>148</v>
      </c>
      <c r="AI68" s="10" t="s">
        <v>100</v>
      </c>
      <c r="AJ68" s="10" t="s">
        <v>73</v>
      </c>
      <c r="AK68" s="10" t="s">
        <v>852</v>
      </c>
      <c r="AL68" s="10" t="s">
        <v>64</v>
      </c>
      <c r="AM68" s="10" t="s">
        <v>853</v>
      </c>
    </row>
    <row r="69" spans="1:39" ht="20.100000000000001" customHeight="1" x14ac:dyDescent="0.25">
      <c r="A69" s="7" t="s">
        <v>854</v>
      </c>
      <c r="B69" s="8" t="s">
        <v>855</v>
      </c>
      <c r="C69" s="8" t="s">
        <v>856</v>
      </c>
      <c r="D69" s="8">
        <v>2025</v>
      </c>
      <c r="E69" s="8" t="s">
        <v>857</v>
      </c>
      <c r="F69" s="8" t="s">
        <v>136</v>
      </c>
      <c r="G69" s="8" t="s">
        <v>50</v>
      </c>
      <c r="H69" s="8" t="s">
        <v>445</v>
      </c>
      <c r="I69" s="8" t="s">
        <v>83</v>
      </c>
      <c r="J69" s="8" t="s">
        <v>53</v>
      </c>
      <c r="K69" s="8" t="s">
        <v>858</v>
      </c>
      <c r="L69" s="8" t="s">
        <v>55</v>
      </c>
      <c r="M69" s="8" t="s">
        <v>859</v>
      </c>
      <c r="N69" s="8" t="s">
        <v>565</v>
      </c>
      <c r="O69" s="8"/>
      <c r="P69" s="8" t="s">
        <v>128</v>
      </c>
      <c r="Q69" s="8" t="s">
        <v>860</v>
      </c>
      <c r="R69" s="8" t="s">
        <v>861</v>
      </c>
      <c r="S69" s="8" t="s">
        <v>145</v>
      </c>
      <c r="T69" s="8" t="s">
        <v>91</v>
      </c>
      <c r="U69" s="8">
        <v>12</v>
      </c>
      <c r="V69" s="8">
        <v>21.2</v>
      </c>
      <c r="W69" s="8" t="s">
        <v>92</v>
      </c>
      <c r="X69" s="8" t="s">
        <v>146</v>
      </c>
      <c r="Y69" s="8" t="s">
        <v>147</v>
      </c>
      <c r="Z69" s="8" t="s">
        <v>127</v>
      </c>
      <c r="AA69" s="8"/>
      <c r="AB69" s="8" t="s">
        <v>128</v>
      </c>
      <c r="AC69" s="8" t="s">
        <v>64</v>
      </c>
      <c r="AD69" s="8" t="s">
        <v>862</v>
      </c>
      <c r="AE69" s="8" t="s">
        <v>96</v>
      </c>
      <c r="AF69" s="8" t="s">
        <v>69</v>
      </c>
      <c r="AG69" s="8" t="s">
        <v>70</v>
      </c>
      <c r="AH69" s="8" t="s">
        <v>148</v>
      </c>
      <c r="AI69" s="8" t="s">
        <v>100</v>
      </c>
      <c r="AJ69" s="8" t="s">
        <v>73</v>
      </c>
      <c r="AK69" s="8" t="s">
        <v>863</v>
      </c>
      <c r="AL69" s="8" t="s">
        <v>64</v>
      </c>
      <c r="AM69" s="8" t="s">
        <v>864</v>
      </c>
    </row>
    <row r="70" spans="1:39" ht="20.100000000000001" customHeight="1" x14ac:dyDescent="0.25">
      <c r="A70" s="9" t="s">
        <v>865</v>
      </c>
      <c r="B70" s="10" t="s">
        <v>866</v>
      </c>
      <c r="C70" s="10" t="s">
        <v>867</v>
      </c>
      <c r="D70" s="10">
        <v>2025</v>
      </c>
      <c r="E70" s="10" t="s">
        <v>868</v>
      </c>
      <c r="F70" s="10" t="s">
        <v>869</v>
      </c>
      <c r="G70" s="10" t="s">
        <v>81</v>
      </c>
      <c r="H70" s="10" t="s">
        <v>378</v>
      </c>
      <c r="I70" s="10" t="s">
        <v>870</v>
      </c>
      <c r="J70" s="10" t="s">
        <v>84</v>
      </c>
      <c r="K70" s="10" t="s">
        <v>871</v>
      </c>
      <c r="L70" s="10" t="s">
        <v>202</v>
      </c>
      <c r="M70" s="10" t="s">
        <v>872</v>
      </c>
      <c r="N70" s="10" t="s">
        <v>57</v>
      </c>
      <c r="O70" s="10"/>
      <c r="P70" s="10" t="s">
        <v>128</v>
      </c>
      <c r="Q70" s="10" t="s">
        <v>873</v>
      </c>
      <c r="R70" s="10" t="s">
        <v>874</v>
      </c>
      <c r="S70" s="10" t="s">
        <v>90</v>
      </c>
      <c r="T70" s="10" t="s">
        <v>127</v>
      </c>
      <c r="U70" s="10"/>
      <c r="V70" s="10"/>
      <c r="W70" s="10" t="s">
        <v>89</v>
      </c>
      <c r="X70" s="10" t="s">
        <v>64</v>
      </c>
      <c r="Y70" s="10" t="s">
        <v>58</v>
      </c>
      <c r="Z70" s="10" t="s">
        <v>127</v>
      </c>
      <c r="AA70" s="10"/>
      <c r="AB70" s="10" t="s">
        <v>128</v>
      </c>
      <c r="AC70" s="10" t="s">
        <v>64</v>
      </c>
      <c r="AD70" s="10" t="s">
        <v>186</v>
      </c>
      <c r="AE70" s="10" t="s">
        <v>96</v>
      </c>
      <c r="AF70" s="10" t="s">
        <v>97</v>
      </c>
      <c r="AG70" s="10" t="s">
        <v>115</v>
      </c>
      <c r="AH70" s="10" t="s">
        <v>187</v>
      </c>
      <c r="AI70" s="10" t="s">
        <v>100</v>
      </c>
      <c r="AJ70" s="10" t="s">
        <v>101</v>
      </c>
      <c r="AK70" s="10" t="s">
        <v>875</v>
      </c>
      <c r="AL70" s="10" t="s">
        <v>64</v>
      </c>
      <c r="AM70" s="10" t="s">
        <v>876</v>
      </c>
    </row>
    <row r="71" spans="1:39" ht="20.100000000000001" customHeight="1" x14ac:dyDescent="0.25">
      <c r="A71" s="7" t="s">
        <v>877</v>
      </c>
      <c r="B71" s="8" t="s">
        <v>878</v>
      </c>
      <c r="C71" s="8" t="s">
        <v>879</v>
      </c>
      <c r="D71" s="8">
        <v>2019</v>
      </c>
      <c r="E71" s="8" t="s">
        <v>880</v>
      </c>
      <c r="F71" s="8" t="s">
        <v>444</v>
      </c>
      <c r="G71" s="8" t="s">
        <v>81</v>
      </c>
      <c r="H71" s="8" t="s">
        <v>82</v>
      </c>
      <c r="I71" s="8" t="s">
        <v>182</v>
      </c>
      <c r="J71" s="8" t="s">
        <v>84</v>
      </c>
      <c r="K71" s="8" t="s">
        <v>881</v>
      </c>
      <c r="L71" s="8" t="s">
        <v>109</v>
      </c>
      <c r="M71" s="8" t="s">
        <v>882</v>
      </c>
      <c r="N71" s="8" t="s">
        <v>141</v>
      </c>
      <c r="O71" s="8">
        <v>1000</v>
      </c>
      <c r="P71" s="8" t="s">
        <v>88</v>
      </c>
      <c r="Q71" s="8" t="s">
        <v>883</v>
      </c>
      <c r="R71" s="8" t="s">
        <v>884</v>
      </c>
      <c r="S71" s="8" t="s">
        <v>61</v>
      </c>
      <c r="T71" s="8" t="s">
        <v>62</v>
      </c>
      <c r="U71" s="8">
        <v>21</v>
      </c>
      <c r="V71" s="8">
        <v>26</v>
      </c>
      <c r="W71" s="8" t="s">
        <v>63</v>
      </c>
      <c r="X71" s="8" t="s">
        <v>64</v>
      </c>
      <c r="Y71" s="8" t="s">
        <v>58</v>
      </c>
      <c r="Z71" s="8" t="s">
        <v>112</v>
      </c>
      <c r="AA71" s="8">
        <v>68</v>
      </c>
      <c r="AB71" s="8" t="s">
        <v>66</v>
      </c>
      <c r="AC71" s="8" t="s">
        <v>64</v>
      </c>
      <c r="AD71" s="8" t="s">
        <v>95</v>
      </c>
      <c r="AE71" s="8" t="s">
        <v>167</v>
      </c>
      <c r="AF71" s="8" t="s">
        <v>114</v>
      </c>
      <c r="AG71" s="8" t="s">
        <v>115</v>
      </c>
      <c r="AH71" s="8" t="s">
        <v>148</v>
      </c>
      <c r="AI71" s="8" t="s">
        <v>100</v>
      </c>
      <c r="AJ71" s="8" t="s">
        <v>101</v>
      </c>
      <c r="AK71" s="8" t="s">
        <v>885</v>
      </c>
      <c r="AL71" s="8" t="s">
        <v>64</v>
      </c>
      <c r="AM71" s="8" t="s">
        <v>886</v>
      </c>
    </row>
    <row r="72" spans="1:39" ht="20.100000000000001" customHeight="1" x14ac:dyDescent="0.25">
      <c r="A72" s="9" t="s">
        <v>887</v>
      </c>
      <c r="B72" s="10" t="s">
        <v>888</v>
      </c>
      <c r="C72" s="10" t="s">
        <v>889</v>
      </c>
      <c r="D72" s="10">
        <v>2024</v>
      </c>
      <c r="E72" s="10" t="s">
        <v>890</v>
      </c>
      <c r="F72" s="10" t="s">
        <v>891</v>
      </c>
      <c r="G72" s="10" t="s">
        <v>137</v>
      </c>
      <c r="H72" s="10" t="s">
        <v>378</v>
      </c>
      <c r="I72" s="10" t="s">
        <v>379</v>
      </c>
      <c r="J72" s="10" t="s">
        <v>260</v>
      </c>
      <c r="K72" s="10" t="s">
        <v>892</v>
      </c>
      <c r="L72" s="10" t="s">
        <v>86</v>
      </c>
      <c r="M72" s="10" t="s">
        <v>893</v>
      </c>
      <c r="N72" s="10" t="s">
        <v>141</v>
      </c>
      <c r="O72" s="10">
        <v>1000</v>
      </c>
      <c r="P72" s="10" t="s">
        <v>128</v>
      </c>
      <c r="Q72" s="10" t="s">
        <v>894</v>
      </c>
      <c r="R72" s="10" t="s">
        <v>895</v>
      </c>
      <c r="S72" s="10" t="s">
        <v>90</v>
      </c>
      <c r="T72" s="10" t="s">
        <v>91</v>
      </c>
      <c r="U72" s="10">
        <v>17</v>
      </c>
      <c r="V72" s="10">
        <v>27</v>
      </c>
      <c r="W72" s="10" t="s">
        <v>89</v>
      </c>
      <c r="X72" s="10" t="s">
        <v>64</v>
      </c>
      <c r="Y72" s="10" t="s">
        <v>58</v>
      </c>
      <c r="Z72" s="10" t="s">
        <v>127</v>
      </c>
      <c r="AA72" s="10"/>
      <c r="AB72" s="10" t="s">
        <v>128</v>
      </c>
      <c r="AC72" s="10" t="s">
        <v>64</v>
      </c>
      <c r="AD72" s="10" t="s">
        <v>896</v>
      </c>
      <c r="AE72" s="10" t="s">
        <v>164</v>
      </c>
      <c r="AF72" s="10" t="s">
        <v>757</v>
      </c>
      <c r="AG72" s="10" t="s">
        <v>70</v>
      </c>
      <c r="AH72" s="10" t="s">
        <v>164</v>
      </c>
      <c r="AI72" s="10" t="s">
        <v>100</v>
      </c>
      <c r="AJ72" s="10" t="s">
        <v>89</v>
      </c>
      <c r="AK72" s="10" t="s">
        <v>897</v>
      </c>
      <c r="AL72" s="10" t="s">
        <v>128</v>
      </c>
      <c r="AM72" s="10" t="s">
        <v>898</v>
      </c>
    </row>
    <row r="73" spans="1:39" ht="20.100000000000001" customHeight="1" x14ac:dyDescent="0.25">
      <c r="A73" s="7" t="s">
        <v>899</v>
      </c>
      <c r="B73" s="8" t="s">
        <v>900</v>
      </c>
      <c r="C73" s="8" t="s">
        <v>901</v>
      </c>
      <c r="D73" s="8">
        <v>2022</v>
      </c>
      <c r="E73" s="8" t="s">
        <v>902</v>
      </c>
      <c r="F73" s="8" t="s">
        <v>561</v>
      </c>
      <c r="G73" s="8" t="s">
        <v>137</v>
      </c>
      <c r="H73" s="8" t="s">
        <v>89</v>
      </c>
      <c r="I73" s="8" t="s">
        <v>164</v>
      </c>
      <c r="J73" s="8" t="s">
        <v>175</v>
      </c>
      <c r="K73" s="8" t="s">
        <v>903</v>
      </c>
      <c r="L73" s="8" t="s">
        <v>86</v>
      </c>
      <c r="M73" s="8" t="s">
        <v>509</v>
      </c>
      <c r="N73" s="8" t="s">
        <v>164</v>
      </c>
      <c r="O73" s="8"/>
      <c r="P73" s="8" t="s">
        <v>128</v>
      </c>
      <c r="Q73" s="8" t="s">
        <v>904</v>
      </c>
      <c r="R73" s="8" t="s">
        <v>905</v>
      </c>
      <c r="S73" s="8" t="s">
        <v>90</v>
      </c>
      <c r="T73" s="8" t="s">
        <v>164</v>
      </c>
      <c r="U73" s="8"/>
      <c r="V73" s="8"/>
      <c r="W73" s="8" t="s">
        <v>89</v>
      </c>
      <c r="X73" s="8" t="s">
        <v>64</v>
      </c>
      <c r="Y73" s="8" t="s">
        <v>58</v>
      </c>
      <c r="Z73" s="8" t="s">
        <v>127</v>
      </c>
      <c r="AA73" s="8"/>
      <c r="AB73" s="8" t="s">
        <v>128</v>
      </c>
      <c r="AC73" s="8" t="s">
        <v>89</v>
      </c>
      <c r="AD73" s="8" t="s">
        <v>656</v>
      </c>
      <c r="AE73" s="8" t="s">
        <v>164</v>
      </c>
      <c r="AF73" s="8" t="s">
        <v>114</v>
      </c>
      <c r="AG73" s="8" t="s">
        <v>115</v>
      </c>
      <c r="AH73" s="8" t="s">
        <v>164</v>
      </c>
      <c r="AI73" s="8" t="s">
        <v>100</v>
      </c>
      <c r="AJ73" s="8" t="s">
        <v>89</v>
      </c>
      <c r="AK73" s="8" t="s">
        <v>906</v>
      </c>
      <c r="AL73" s="8" t="s">
        <v>128</v>
      </c>
      <c r="AM73" s="8" t="s">
        <v>907</v>
      </c>
    </row>
    <row r="74" spans="1:39" ht="20.100000000000001" customHeight="1" x14ac:dyDescent="0.25">
      <c r="A74" s="9" t="s">
        <v>908</v>
      </c>
      <c r="B74" s="10" t="s">
        <v>909</v>
      </c>
      <c r="C74" s="10" t="s">
        <v>910</v>
      </c>
      <c r="D74" s="10">
        <v>2025</v>
      </c>
      <c r="E74" s="10" t="s">
        <v>911</v>
      </c>
      <c r="F74" s="10" t="s">
        <v>912</v>
      </c>
      <c r="G74" s="10" t="s">
        <v>50</v>
      </c>
      <c r="H74" s="10" t="s">
        <v>107</v>
      </c>
      <c r="I74" s="10" t="s">
        <v>83</v>
      </c>
      <c r="J74" s="10" t="s">
        <v>53</v>
      </c>
      <c r="K74" s="10" t="s">
        <v>913</v>
      </c>
      <c r="L74" s="10" t="s">
        <v>55</v>
      </c>
      <c r="M74" s="10" t="s">
        <v>914</v>
      </c>
      <c r="N74" s="10" t="s">
        <v>164</v>
      </c>
      <c r="O74" s="10"/>
      <c r="P74" s="10" t="s">
        <v>58</v>
      </c>
      <c r="Q74" s="10" t="s">
        <v>915</v>
      </c>
      <c r="R74" s="10" t="s">
        <v>916</v>
      </c>
      <c r="S74" s="10" t="s">
        <v>145</v>
      </c>
      <c r="T74" s="10" t="s">
        <v>91</v>
      </c>
      <c r="U74" s="10">
        <v>10</v>
      </c>
      <c r="V74" s="10">
        <v>28</v>
      </c>
      <c r="W74" s="10" t="s">
        <v>89</v>
      </c>
      <c r="X74" s="10" t="s">
        <v>64</v>
      </c>
      <c r="Y74" s="10" t="s">
        <v>58</v>
      </c>
      <c r="Z74" s="10" t="s">
        <v>65</v>
      </c>
      <c r="AA74" s="10">
        <v>27.9</v>
      </c>
      <c r="AB74" s="10" t="s">
        <v>66</v>
      </c>
      <c r="AC74" s="10" t="s">
        <v>64</v>
      </c>
      <c r="AD74" s="10" t="s">
        <v>95</v>
      </c>
      <c r="AE74" s="10" t="s">
        <v>96</v>
      </c>
      <c r="AF74" s="10" t="s">
        <v>114</v>
      </c>
      <c r="AG74" s="10" t="s">
        <v>115</v>
      </c>
      <c r="AH74" s="10" t="s">
        <v>164</v>
      </c>
      <c r="AI74" s="10" t="s">
        <v>100</v>
      </c>
      <c r="AJ74" s="10" t="s">
        <v>73</v>
      </c>
      <c r="AK74" s="10" t="s">
        <v>917</v>
      </c>
      <c r="AL74" s="10" t="s">
        <v>64</v>
      </c>
      <c r="AM74" s="10" t="s">
        <v>918</v>
      </c>
    </row>
    <row r="75" spans="1:39" ht="20.100000000000001" customHeight="1" x14ac:dyDescent="0.25">
      <c r="A75" s="7" t="s">
        <v>919</v>
      </c>
      <c r="B75" s="8" t="s">
        <v>920</v>
      </c>
      <c r="C75" s="8" t="s">
        <v>921</v>
      </c>
      <c r="D75" s="8">
        <v>2024</v>
      </c>
      <c r="E75" s="8" t="s">
        <v>922</v>
      </c>
      <c r="F75" s="8" t="s">
        <v>764</v>
      </c>
      <c r="G75" s="8" t="s">
        <v>137</v>
      </c>
      <c r="H75" s="8" t="s">
        <v>378</v>
      </c>
      <c r="I75" s="8" t="s">
        <v>379</v>
      </c>
      <c r="J75" s="8" t="s">
        <v>138</v>
      </c>
      <c r="K75" s="8" t="s">
        <v>139</v>
      </c>
      <c r="L75" s="8" t="s">
        <v>86</v>
      </c>
      <c r="M75" s="8" t="s">
        <v>923</v>
      </c>
      <c r="N75" s="8" t="s">
        <v>127</v>
      </c>
      <c r="O75" s="8"/>
      <c r="P75" s="8" t="s">
        <v>128</v>
      </c>
      <c r="Q75" s="8" t="s">
        <v>924</v>
      </c>
      <c r="R75" s="8" t="s">
        <v>925</v>
      </c>
      <c r="S75" s="8" t="s">
        <v>145</v>
      </c>
      <c r="T75" s="8" t="s">
        <v>91</v>
      </c>
      <c r="U75" s="8">
        <v>21.1</v>
      </c>
      <c r="V75" s="8">
        <v>25.1</v>
      </c>
      <c r="W75" s="8" t="s">
        <v>126</v>
      </c>
      <c r="X75" s="8" t="s">
        <v>146</v>
      </c>
      <c r="Y75" s="8" t="s">
        <v>93</v>
      </c>
      <c r="Z75" s="8" t="s">
        <v>127</v>
      </c>
      <c r="AA75" s="8"/>
      <c r="AB75" s="8" t="s">
        <v>128</v>
      </c>
      <c r="AC75" s="8" t="s">
        <v>64</v>
      </c>
      <c r="AD75" s="8" t="s">
        <v>926</v>
      </c>
      <c r="AE75" s="8" t="s">
        <v>96</v>
      </c>
      <c r="AF75" s="8" t="s">
        <v>114</v>
      </c>
      <c r="AG75" s="8" t="s">
        <v>115</v>
      </c>
      <c r="AH75" s="8" t="s">
        <v>148</v>
      </c>
      <c r="AI75" s="8" t="s">
        <v>100</v>
      </c>
      <c r="AJ75" s="8" t="s">
        <v>149</v>
      </c>
      <c r="AK75" s="8" t="s">
        <v>927</v>
      </c>
      <c r="AL75" s="8" t="s">
        <v>64</v>
      </c>
      <c r="AM75" s="8" t="s">
        <v>928</v>
      </c>
    </row>
    <row r="76" spans="1:39" ht="20.100000000000001" customHeight="1" x14ac:dyDescent="0.25">
      <c r="A76" s="9" t="s">
        <v>929</v>
      </c>
      <c r="B76" s="10" t="s">
        <v>930</v>
      </c>
      <c r="C76" s="10" t="s">
        <v>931</v>
      </c>
      <c r="D76" s="10">
        <v>2019</v>
      </c>
      <c r="E76" s="10" t="s">
        <v>932</v>
      </c>
      <c r="F76" s="10" t="s">
        <v>49</v>
      </c>
      <c r="G76" s="10" t="s">
        <v>50</v>
      </c>
      <c r="H76" s="10" t="s">
        <v>82</v>
      </c>
      <c r="I76" s="10" t="s">
        <v>933</v>
      </c>
      <c r="J76" s="10" t="s">
        <v>53</v>
      </c>
      <c r="K76" s="10" t="s">
        <v>934</v>
      </c>
      <c r="L76" s="10" t="s">
        <v>55</v>
      </c>
      <c r="M76" s="10" t="s">
        <v>935</v>
      </c>
      <c r="N76" s="10" t="s">
        <v>141</v>
      </c>
      <c r="O76" s="10"/>
      <c r="P76" s="10" t="s">
        <v>58</v>
      </c>
      <c r="Q76" s="10" t="s">
        <v>936</v>
      </c>
      <c r="R76" s="10" t="s">
        <v>937</v>
      </c>
      <c r="S76" s="10" t="s">
        <v>145</v>
      </c>
      <c r="T76" s="10" t="s">
        <v>91</v>
      </c>
      <c r="U76" s="10">
        <v>25.5</v>
      </c>
      <c r="V76" s="10">
        <v>27</v>
      </c>
      <c r="W76" s="10" t="s">
        <v>301</v>
      </c>
      <c r="X76" s="10" t="s">
        <v>64</v>
      </c>
      <c r="Y76" s="10" t="s">
        <v>93</v>
      </c>
      <c r="Z76" s="10" t="s">
        <v>65</v>
      </c>
      <c r="AA76" s="10"/>
      <c r="AB76" s="10" t="s">
        <v>66</v>
      </c>
      <c r="AC76" s="10" t="s">
        <v>64</v>
      </c>
      <c r="AD76" s="10" t="s">
        <v>938</v>
      </c>
      <c r="AE76" s="10" t="s">
        <v>68</v>
      </c>
      <c r="AF76" s="10" t="s">
        <v>114</v>
      </c>
      <c r="AG76" s="10" t="s">
        <v>115</v>
      </c>
      <c r="AH76" s="10" t="s">
        <v>148</v>
      </c>
      <c r="AI76" s="10" t="s">
        <v>100</v>
      </c>
      <c r="AJ76" s="10" t="s">
        <v>73</v>
      </c>
      <c r="AK76" s="10" t="s">
        <v>939</v>
      </c>
      <c r="AL76" s="10" t="s">
        <v>221</v>
      </c>
      <c r="AM76" s="10" t="s">
        <v>940</v>
      </c>
    </row>
    <row r="77" spans="1:39" ht="20.100000000000001" customHeight="1" x14ac:dyDescent="0.25">
      <c r="A77" s="7" t="s">
        <v>941</v>
      </c>
      <c r="B77" s="8" t="s">
        <v>942</v>
      </c>
      <c r="C77" s="8" t="s">
        <v>943</v>
      </c>
      <c r="D77" s="8">
        <v>2021</v>
      </c>
      <c r="E77" s="8" t="s">
        <v>944</v>
      </c>
      <c r="F77" s="8" t="s">
        <v>561</v>
      </c>
      <c r="G77" s="8" t="s">
        <v>50</v>
      </c>
      <c r="H77" s="8" t="s">
        <v>378</v>
      </c>
      <c r="I77" s="8" t="s">
        <v>765</v>
      </c>
      <c r="J77" s="8" t="s">
        <v>84</v>
      </c>
      <c r="K77" s="8" t="s">
        <v>945</v>
      </c>
      <c r="L77" s="8" t="s">
        <v>55</v>
      </c>
      <c r="M77" s="8" t="s">
        <v>946</v>
      </c>
      <c r="N77" s="8" t="s">
        <v>141</v>
      </c>
      <c r="O77" s="8">
        <v>1000</v>
      </c>
      <c r="P77" s="8" t="s">
        <v>88</v>
      </c>
      <c r="Q77" s="8" t="s">
        <v>947</v>
      </c>
      <c r="R77" s="8" t="s">
        <v>948</v>
      </c>
      <c r="S77" s="8" t="s">
        <v>145</v>
      </c>
      <c r="T77" s="8" t="s">
        <v>91</v>
      </c>
      <c r="U77" s="8">
        <v>20</v>
      </c>
      <c r="V77" s="8">
        <v>26</v>
      </c>
      <c r="W77" s="8" t="s">
        <v>89</v>
      </c>
      <c r="X77" s="8" t="s">
        <v>64</v>
      </c>
      <c r="Y77" s="8" t="s">
        <v>111</v>
      </c>
      <c r="Z77" s="8" t="s">
        <v>65</v>
      </c>
      <c r="AA77" s="8">
        <v>28</v>
      </c>
      <c r="AB77" s="8" t="s">
        <v>66</v>
      </c>
      <c r="AC77" s="8" t="s">
        <v>64</v>
      </c>
      <c r="AD77" s="8" t="s">
        <v>949</v>
      </c>
      <c r="AE77" s="8" t="s">
        <v>167</v>
      </c>
      <c r="AF77" s="8" t="s">
        <v>114</v>
      </c>
      <c r="AG77" s="8" t="s">
        <v>115</v>
      </c>
      <c r="AH77" s="8" t="s">
        <v>148</v>
      </c>
      <c r="AI77" s="8" t="s">
        <v>100</v>
      </c>
      <c r="AJ77" s="8" t="s">
        <v>101</v>
      </c>
      <c r="AK77" s="8" t="s">
        <v>950</v>
      </c>
      <c r="AL77" s="8" t="s">
        <v>64</v>
      </c>
      <c r="AM77" s="8" t="s">
        <v>951</v>
      </c>
    </row>
    <row r="78" spans="1:39" ht="20.100000000000001" customHeight="1" x14ac:dyDescent="0.25">
      <c r="A78" s="9" t="s">
        <v>952</v>
      </c>
      <c r="B78" s="10" t="s">
        <v>953</v>
      </c>
      <c r="C78" s="10" t="s">
        <v>954</v>
      </c>
      <c r="D78" s="10">
        <v>2025</v>
      </c>
      <c r="E78" s="10" t="s">
        <v>955</v>
      </c>
      <c r="F78" s="10" t="s">
        <v>956</v>
      </c>
      <c r="G78" s="10" t="s">
        <v>957</v>
      </c>
      <c r="H78" s="10" t="s">
        <v>470</v>
      </c>
      <c r="I78" s="10" t="s">
        <v>777</v>
      </c>
      <c r="J78" s="10" t="s">
        <v>138</v>
      </c>
      <c r="K78" s="10" t="s">
        <v>958</v>
      </c>
      <c r="L78" s="10" t="s">
        <v>86</v>
      </c>
      <c r="M78" s="10" t="s">
        <v>959</v>
      </c>
      <c r="N78" s="10" t="s">
        <v>164</v>
      </c>
      <c r="O78" s="10"/>
      <c r="P78" s="10" t="s">
        <v>142</v>
      </c>
      <c r="Q78" s="10" t="s">
        <v>960</v>
      </c>
      <c r="R78" s="10" t="s">
        <v>961</v>
      </c>
      <c r="S78" s="10" t="s">
        <v>145</v>
      </c>
      <c r="T78" s="10" t="s">
        <v>91</v>
      </c>
      <c r="U78" s="10">
        <v>21</v>
      </c>
      <c r="V78" s="10">
        <v>24</v>
      </c>
      <c r="W78" s="10" t="s">
        <v>89</v>
      </c>
      <c r="X78" s="10" t="s">
        <v>64</v>
      </c>
      <c r="Y78" s="10" t="s">
        <v>58</v>
      </c>
      <c r="Z78" s="10" t="s">
        <v>127</v>
      </c>
      <c r="AA78" s="10"/>
      <c r="AB78" s="10" t="s">
        <v>128</v>
      </c>
      <c r="AC78" s="10" t="s">
        <v>64</v>
      </c>
      <c r="AD78" s="10" t="s">
        <v>962</v>
      </c>
      <c r="AE78" s="10" t="s">
        <v>96</v>
      </c>
      <c r="AF78" s="10" t="s">
        <v>114</v>
      </c>
      <c r="AG78" s="10" t="s">
        <v>115</v>
      </c>
      <c r="AH78" s="10" t="s">
        <v>164</v>
      </c>
      <c r="AI78" s="10" t="s">
        <v>100</v>
      </c>
      <c r="AJ78" s="10" t="s">
        <v>149</v>
      </c>
      <c r="AK78" s="10" t="s">
        <v>963</v>
      </c>
      <c r="AL78" s="10" t="s">
        <v>64</v>
      </c>
      <c r="AM78" s="10" t="s">
        <v>964</v>
      </c>
    </row>
    <row r="79" spans="1:39" ht="20.100000000000001" customHeight="1" x14ac:dyDescent="0.25">
      <c r="A79" s="7" t="s">
        <v>965</v>
      </c>
      <c r="B79" s="8" t="s">
        <v>966</v>
      </c>
      <c r="C79" s="8" t="s">
        <v>967</v>
      </c>
      <c r="D79" s="8">
        <v>2024</v>
      </c>
      <c r="E79" s="8" t="s">
        <v>968</v>
      </c>
      <c r="F79" s="8" t="s">
        <v>49</v>
      </c>
      <c r="G79" s="8" t="s">
        <v>137</v>
      </c>
      <c r="H79" s="8" t="s">
        <v>51</v>
      </c>
      <c r="I79" s="8" t="s">
        <v>969</v>
      </c>
      <c r="J79" s="8" t="s">
        <v>138</v>
      </c>
      <c r="K79" s="8" t="s">
        <v>139</v>
      </c>
      <c r="L79" s="8" t="s">
        <v>55</v>
      </c>
      <c r="M79" s="8" t="s">
        <v>970</v>
      </c>
      <c r="N79" s="8" t="s">
        <v>127</v>
      </c>
      <c r="O79" s="8"/>
      <c r="P79" s="8" t="s">
        <v>128</v>
      </c>
      <c r="Q79" s="8" t="s">
        <v>971</v>
      </c>
      <c r="R79" s="8" t="s">
        <v>972</v>
      </c>
      <c r="S79" s="8" t="s">
        <v>145</v>
      </c>
      <c r="T79" s="8" t="s">
        <v>243</v>
      </c>
      <c r="U79" s="8">
        <v>28.8</v>
      </c>
      <c r="V79" s="8">
        <v>30</v>
      </c>
      <c r="W79" s="8" t="s">
        <v>63</v>
      </c>
      <c r="X79" s="8" t="s">
        <v>146</v>
      </c>
      <c r="Y79" s="8" t="s">
        <v>111</v>
      </c>
      <c r="Z79" s="8" t="s">
        <v>127</v>
      </c>
      <c r="AA79" s="8"/>
      <c r="AB79" s="8" t="s">
        <v>128</v>
      </c>
      <c r="AC79" s="8" t="s">
        <v>64</v>
      </c>
      <c r="AD79" s="8" t="s">
        <v>973</v>
      </c>
      <c r="AE79" s="8" t="s">
        <v>96</v>
      </c>
      <c r="AF79" s="8" t="s">
        <v>114</v>
      </c>
      <c r="AG79" s="8" t="s">
        <v>115</v>
      </c>
      <c r="AH79" s="8" t="s">
        <v>164</v>
      </c>
      <c r="AI79" s="8" t="s">
        <v>100</v>
      </c>
      <c r="AJ79" s="8" t="s">
        <v>149</v>
      </c>
      <c r="AK79" s="8" t="s">
        <v>974</v>
      </c>
      <c r="AL79" s="8" t="s">
        <v>64</v>
      </c>
      <c r="AM79" s="8" t="s">
        <v>975</v>
      </c>
    </row>
    <row r="80" spans="1:39" ht="20.100000000000001" customHeight="1" x14ac:dyDescent="0.25">
      <c r="A80" s="9" t="s">
        <v>976</v>
      </c>
      <c r="B80" s="10" t="s">
        <v>977</v>
      </c>
      <c r="C80" s="10" t="s">
        <v>978</v>
      </c>
      <c r="D80" s="10">
        <v>2022</v>
      </c>
      <c r="E80" s="10" t="s">
        <v>979</v>
      </c>
      <c r="F80" s="10" t="s">
        <v>561</v>
      </c>
      <c r="G80" s="10" t="s">
        <v>50</v>
      </c>
      <c r="H80" s="10" t="s">
        <v>470</v>
      </c>
      <c r="I80" s="10" t="s">
        <v>980</v>
      </c>
      <c r="J80" s="10" t="s">
        <v>84</v>
      </c>
      <c r="K80" s="10" t="s">
        <v>981</v>
      </c>
      <c r="L80" s="10" t="s">
        <v>55</v>
      </c>
      <c r="M80" s="10" t="s">
        <v>982</v>
      </c>
      <c r="N80" s="10" t="s">
        <v>57</v>
      </c>
      <c r="O80" s="10"/>
      <c r="P80" s="10" t="s">
        <v>88</v>
      </c>
      <c r="Q80" s="10" t="s">
        <v>983</v>
      </c>
      <c r="R80" s="10" t="s">
        <v>984</v>
      </c>
      <c r="S80" s="10" t="s">
        <v>90</v>
      </c>
      <c r="T80" s="10" t="s">
        <v>62</v>
      </c>
      <c r="U80" s="10">
        <v>-0.5</v>
      </c>
      <c r="V80" s="10">
        <v>0.5</v>
      </c>
      <c r="W80" s="10" t="s">
        <v>163</v>
      </c>
      <c r="X80" s="10" t="s">
        <v>64</v>
      </c>
      <c r="Y80" s="10" t="s">
        <v>111</v>
      </c>
      <c r="Z80" s="10" t="s">
        <v>127</v>
      </c>
      <c r="AA80" s="10"/>
      <c r="AB80" s="10" t="s">
        <v>128</v>
      </c>
      <c r="AC80" s="10" t="s">
        <v>64</v>
      </c>
      <c r="AD80" s="10" t="s">
        <v>985</v>
      </c>
      <c r="AE80" s="10" t="s">
        <v>96</v>
      </c>
      <c r="AF80" s="10" t="s">
        <v>97</v>
      </c>
      <c r="AG80" s="10" t="s">
        <v>98</v>
      </c>
      <c r="AH80" s="10" t="s">
        <v>187</v>
      </c>
      <c r="AI80" s="10" t="s">
        <v>100</v>
      </c>
      <c r="AJ80" s="10" t="s">
        <v>101</v>
      </c>
      <c r="AK80" s="10" t="s">
        <v>986</v>
      </c>
      <c r="AL80" s="10" t="s">
        <v>64</v>
      </c>
      <c r="AM80" s="10" t="s">
        <v>987</v>
      </c>
    </row>
    <row r="81" spans="1:39" ht="20.100000000000001" customHeight="1" x14ac:dyDescent="0.25">
      <c r="A81" s="7" t="s">
        <v>988</v>
      </c>
      <c r="B81" s="8" t="s">
        <v>989</v>
      </c>
      <c r="C81" s="8" t="s">
        <v>990</v>
      </c>
      <c r="D81" s="8">
        <v>2022</v>
      </c>
      <c r="E81" s="8" t="s">
        <v>991</v>
      </c>
      <c r="F81" s="8" t="s">
        <v>238</v>
      </c>
      <c r="G81" s="8" t="s">
        <v>260</v>
      </c>
      <c r="H81" s="8" t="s">
        <v>378</v>
      </c>
      <c r="I81" s="8" t="s">
        <v>379</v>
      </c>
      <c r="J81" s="8" t="s">
        <v>53</v>
      </c>
      <c r="K81" s="8" t="s">
        <v>992</v>
      </c>
      <c r="L81" s="8" t="s">
        <v>55</v>
      </c>
      <c r="M81" s="8" t="s">
        <v>993</v>
      </c>
      <c r="N81" s="8" t="s">
        <v>260</v>
      </c>
      <c r="O81" s="8"/>
      <c r="P81" s="8" t="s">
        <v>128</v>
      </c>
      <c r="Q81" s="8" t="s">
        <v>994</v>
      </c>
      <c r="R81" s="8" t="s">
        <v>995</v>
      </c>
      <c r="S81" s="8" t="s">
        <v>996</v>
      </c>
      <c r="T81" s="8" t="s">
        <v>91</v>
      </c>
      <c r="U81" s="8">
        <v>25</v>
      </c>
      <c r="V81" s="8">
        <v>30</v>
      </c>
      <c r="W81" s="8" t="s">
        <v>92</v>
      </c>
      <c r="X81" s="8" t="s">
        <v>64</v>
      </c>
      <c r="Y81" s="8" t="s">
        <v>58</v>
      </c>
      <c r="Z81" s="8" t="s">
        <v>65</v>
      </c>
      <c r="AA81" s="8">
        <v>93</v>
      </c>
      <c r="AB81" s="8" t="s">
        <v>66</v>
      </c>
      <c r="AC81" s="8" t="s">
        <v>185</v>
      </c>
      <c r="AD81" s="8" t="s">
        <v>997</v>
      </c>
      <c r="AE81" s="8" t="s">
        <v>96</v>
      </c>
      <c r="AF81" s="8" t="s">
        <v>97</v>
      </c>
      <c r="AG81" s="8" t="s">
        <v>70</v>
      </c>
      <c r="AH81" s="8" t="s">
        <v>187</v>
      </c>
      <c r="AI81" s="8" t="s">
        <v>100</v>
      </c>
      <c r="AJ81" s="8" t="s">
        <v>73</v>
      </c>
      <c r="AK81" s="8" t="s">
        <v>998</v>
      </c>
      <c r="AL81" s="8" t="s">
        <v>64</v>
      </c>
      <c r="AM81" s="8" t="s">
        <v>999</v>
      </c>
    </row>
    <row r="82" spans="1:39" ht="20.100000000000001" customHeight="1" x14ac:dyDescent="0.25">
      <c r="A82" s="9" t="s">
        <v>1000</v>
      </c>
      <c r="B82" s="10" t="s">
        <v>1001</v>
      </c>
      <c r="C82" s="10" t="s">
        <v>1002</v>
      </c>
      <c r="D82" s="10">
        <v>2020</v>
      </c>
      <c r="E82" s="10" t="s">
        <v>1003</v>
      </c>
      <c r="F82" s="10" t="s">
        <v>238</v>
      </c>
      <c r="G82" s="10" t="s">
        <v>50</v>
      </c>
      <c r="H82" s="10" t="s">
        <v>107</v>
      </c>
      <c r="I82" s="10" t="s">
        <v>83</v>
      </c>
      <c r="J82" s="10" t="s">
        <v>53</v>
      </c>
      <c r="K82" s="10" t="s">
        <v>1004</v>
      </c>
      <c r="L82" s="10" t="s">
        <v>55</v>
      </c>
      <c r="M82" s="10" t="s">
        <v>1005</v>
      </c>
      <c r="N82" s="10" t="s">
        <v>127</v>
      </c>
      <c r="O82" s="10"/>
      <c r="P82" s="10" t="s">
        <v>128</v>
      </c>
      <c r="Q82" s="10" t="s">
        <v>1006</v>
      </c>
      <c r="R82" s="10" t="s">
        <v>1007</v>
      </c>
      <c r="S82" s="10" t="s">
        <v>145</v>
      </c>
      <c r="T82" s="10" t="s">
        <v>91</v>
      </c>
      <c r="U82" s="10">
        <v>28</v>
      </c>
      <c r="V82" s="10">
        <v>34</v>
      </c>
      <c r="W82" s="10" t="s">
        <v>89</v>
      </c>
      <c r="X82" s="10" t="s">
        <v>64</v>
      </c>
      <c r="Y82" s="10" t="s">
        <v>111</v>
      </c>
      <c r="Z82" s="10" t="s">
        <v>65</v>
      </c>
      <c r="AA82" s="10">
        <v>38</v>
      </c>
      <c r="AB82" s="10" t="s">
        <v>66</v>
      </c>
      <c r="AC82" s="10" t="s">
        <v>185</v>
      </c>
      <c r="AD82" s="10" t="s">
        <v>1008</v>
      </c>
      <c r="AE82" s="10" t="s">
        <v>96</v>
      </c>
      <c r="AF82" s="10" t="s">
        <v>114</v>
      </c>
      <c r="AG82" s="10" t="s">
        <v>115</v>
      </c>
      <c r="AH82" s="10" t="s">
        <v>148</v>
      </c>
      <c r="AI82" s="10" t="s">
        <v>100</v>
      </c>
      <c r="AJ82" s="10" t="s">
        <v>73</v>
      </c>
      <c r="AK82" s="10" t="s">
        <v>1009</v>
      </c>
      <c r="AL82" s="10" t="s">
        <v>64</v>
      </c>
      <c r="AM82" s="10" t="s">
        <v>1010</v>
      </c>
    </row>
    <row r="83" spans="1:39" ht="20.100000000000001" customHeight="1" x14ac:dyDescent="0.25">
      <c r="A83" s="7" t="s">
        <v>1011</v>
      </c>
      <c r="B83" s="8" t="s">
        <v>1012</v>
      </c>
      <c r="C83" s="8" t="s">
        <v>1013</v>
      </c>
      <c r="D83" s="8">
        <v>2022</v>
      </c>
      <c r="E83" s="8" t="s">
        <v>1014</v>
      </c>
      <c r="F83" s="8" t="s">
        <v>764</v>
      </c>
      <c r="G83" s="8" t="s">
        <v>260</v>
      </c>
      <c r="H83" s="8" t="s">
        <v>89</v>
      </c>
      <c r="I83" s="8" t="s">
        <v>777</v>
      </c>
      <c r="J83" s="8" t="s">
        <v>138</v>
      </c>
      <c r="K83" s="8" t="s">
        <v>1015</v>
      </c>
      <c r="L83" s="8" t="s">
        <v>55</v>
      </c>
      <c r="M83" s="8" t="s">
        <v>1016</v>
      </c>
      <c r="N83" s="8" t="s">
        <v>127</v>
      </c>
      <c r="O83" s="8"/>
      <c r="P83" s="8" t="s">
        <v>128</v>
      </c>
      <c r="Q83" s="8" t="s">
        <v>1017</v>
      </c>
      <c r="R83" s="8" t="s">
        <v>1018</v>
      </c>
      <c r="S83" s="8" t="s">
        <v>145</v>
      </c>
      <c r="T83" s="8" t="s">
        <v>243</v>
      </c>
      <c r="U83" s="8">
        <v>0</v>
      </c>
      <c r="V83" s="8">
        <v>3</v>
      </c>
      <c r="W83" s="8" t="s">
        <v>63</v>
      </c>
      <c r="X83" s="8" t="s">
        <v>146</v>
      </c>
      <c r="Y83" s="8" t="s">
        <v>111</v>
      </c>
      <c r="Z83" s="8" t="s">
        <v>127</v>
      </c>
      <c r="AA83" s="8"/>
      <c r="AB83" s="8" t="s">
        <v>128</v>
      </c>
      <c r="AC83" s="8" t="s">
        <v>64</v>
      </c>
      <c r="AD83" s="8" t="s">
        <v>1019</v>
      </c>
      <c r="AE83" s="8" t="s">
        <v>96</v>
      </c>
      <c r="AF83" s="8" t="s">
        <v>114</v>
      </c>
      <c r="AG83" s="8" t="s">
        <v>115</v>
      </c>
      <c r="AH83" s="8" t="s">
        <v>260</v>
      </c>
      <c r="AI83" s="8" t="s">
        <v>100</v>
      </c>
      <c r="AJ83" s="8" t="s">
        <v>149</v>
      </c>
      <c r="AK83" s="8" t="s">
        <v>1020</v>
      </c>
      <c r="AL83" s="8" t="s">
        <v>64</v>
      </c>
      <c r="AM83" s="8" t="s">
        <v>1021</v>
      </c>
    </row>
    <row r="84" spans="1:39" ht="20.100000000000001" customHeight="1" x14ac:dyDescent="0.25">
      <c r="A84" s="9" t="s">
        <v>1022</v>
      </c>
      <c r="B84" s="10" t="s">
        <v>1023</v>
      </c>
      <c r="C84" s="10" t="s">
        <v>1024</v>
      </c>
      <c r="D84" s="10">
        <v>2025</v>
      </c>
      <c r="E84" s="10" t="s">
        <v>1025</v>
      </c>
      <c r="F84" s="10" t="s">
        <v>891</v>
      </c>
      <c r="G84" s="10" t="s">
        <v>137</v>
      </c>
      <c r="H84" s="10" t="s">
        <v>164</v>
      </c>
      <c r="I84" s="10" t="s">
        <v>1026</v>
      </c>
      <c r="J84" s="10" t="s">
        <v>175</v>
      </c>
      <c r="K84" s="10" t="s">
        <v>1027</v>
      </c>
      <c r="L84" s="10" t="s">
        <v>86</v>
      </c>
      <c r="M84" s="10" t="s">
        <v>497</v>
      </c>
      <c r="N84" s="10" t="s">
        <v>141</v>
      </c>
      <c r="O84" s="10">
        <v>800</v>
      </c>
      <c r="P84" s="10" t="s">
        <v>128</v>
      </c>
      <c r="Q84" s="10" t="s">
        <v>1028</v>
      </c>
      <c r="R84" s="10" t="s">
        <v>275</v>
      </c>
      <c r="S84" s="10" t="s">
        <v>90</v>
      </c>
      <c r="T84" s="10" t="s">
        <v>91</v>
      </c>
      <c r="U84" s="10">
        <v>20</v>
      </c>
      <c r="V84" s="10">
        <v>26</v>
      </c>
      <c r="W84" s="10" t="s">
        <v>163</v>
      </c>
      <c r="X84" s="10" t="s">
        <v>64</v>
      </c>
      <c r="Y84" s="10" t="s">
        <v>58</v>
      </c>
      <c r="Z84" s="10" t="s">
        <v>127</v>
      </c>
      <c r="AA84" s="10"/>
      <c r="AB84" s="10" t="s">
        <v>128</v>
      </c>
      <c r="AC84" s="10" t="s">
        <v>64</v>
      </c>
      <c r="AD84" s="10" t="s">
        <v>1029</v>
      </c>
      <c r="AE84" s="10" t="s">
        <v>164</v>
      </c>
      <c r="AF84" s="10" t="s">
        <v>114</v>
      </c>
      <c r="AG84" s="10" t="s">
        <v>115</v>
      </c>
      <c r="AH84" s="10" t="s">
        <v>148</v>
      </c>
      <c r="AI84" s="10" t="s">
        <v>100</v>
      </c>
      <c r="AJ84" s="10" t="s">
        <v>89</v>
      </c>
      <c r="AK84" s="10" t="s">
        <v>1030</v>
      </c>
      <c r="AL84" s="10" t="s">
        <v>128</v>
      </c>
      <c r="AM84" s="10" t="s">
        <v>1031</v>
      </c>
    </row>
  </sheetData>
  <autoFilter ref="A2:AM84" xr:uid="{00000000-0009-0000-0000-000000000000}"/>
  <mergeCells count="7">
    <mergeCell ref="AM1"/>
    <mergeCell ref="T1:Y1"/>
    <mergeCell ref="Z1:AD1"/>
    <mergeCell ref="A1:F1"/>
    <mergeCell ref="AE1:AL1"/>
    <mergeCell ref="N1:S1"/>
    <mergeCell ref="G1:M1"/>
  </mergeCells>
  <dataValidations count="21">
    <dataValidation type="list" allowBlank="1" showInputMessage="1" promptTitle="Building_typology" prompt="Primary building typology of the study" sqref="G3:G84" xr:uid="{00000000-0002-0000-0000-000000000000}">
      <formula1>"School,Office,Residential,Healthcare,Mixed,Other"</formula1>
    </dataValidation>
    <dataValidation type="list" allowBlank="1" showInputMessage="1" promptTitle="Climate_zone" prompt="Climate zone (Köppen classification or as declared by authors)" sqref="H3:H84" xr:uid="{00000000-0002-0000-0000-000001000000}">
      <formula1>"Mediterranean,Subtropical,Temperate,Continental,Arid,Tropical,Cold,Not specified"</formula1>
    </dataValidation>
    <dataValidation type="list" allowBlank="1" showInputMessage="1" promptTitle="Study_type" prompt="Primary methodological nature of the study" sqref="J3:J84" xr:uid="{00000000-0002-0000-0000-000002000000}">
      <formula1>"Simulation-only,Field measurement,Simulation+Field,Lab experiment,Review,Other"</formula1>
    </dataValidation>
    <dataValidation type="list" allowBlank="1" showInputMessage="1" promptTitle="Validation_method" prompt="Validation method for model or results" sqref="L3:L84" xr:uid="{00000000-0002-0000-0000-000003000000}">
      <formula1>"Experimental validation,Cross-validation,Statistical test,Sensitivity analysis,None reported"</formula1>
    </dataValidation>
    <dataValidation type="list" allowBlank="1" showInputMessage="1" promptTitle="IAQ_metric_primary" prompt="Primary indoor air quality indicator" sqref="N3:N84" xr:uid="{00000000-0002-0000-0000-000004000000}">
      <formula1>"CO2 concentration,ACH,IAQ index,VOC,PM2.5,PM10,TVOC,Formaldehyde,Multiple,Other,Not assessed"</formula1>
    </dataValidation>
    <dataValidation type="list" allowBlank="1" showInputMessage="1" promptTitle="CO2_method" prompt="Source of CO₂ data: real measurement or simulation" sqref="P3:P84" xr:uid="{00000000-0002-0000-0000-000005000000}">
      <formula1>"Sensor (real),Simulated,Both,Not applicable"</formula1>
    </dataValidation>
    <dataValidation type="list" allowBlank="1" showInputMessage="1" promptTitle="IAQ_monitoring_freq" prompt="Monitoring or sampling frequency for IAQ" sqref="S3:S84" xr:uid="{00000000-0002-0000-0000-000006000000}">
      <formula1>"Continuous,Hourly,Daily,Periodic,Not reported"</formula1>
    </dataValidation>
    <dataValidation type="list" allowBlank="1" showInputMessage="1" promptTitle="TC_metric_primary" prompt="Primary thermal comfort indicator" sqref="T3:T84" xr:uid="{00000000-0002-0000-0000-000007000000}">
      <formula1>"PMV-PPD,Operative temperature,TSV (survey),Adaptive comfort,SET,ET*,Multiple,Not assessed"</formula1>
    </dataValidation>
    <dataValidation type="list" allowBlank="1" showInputMessage="1" promptTitle="TC_comfort_model" prompt="Thermal comfort standard or model applied" sqref="W3:W84" xr:uid="{00000000-0002-0000-0000-000008000000}">
      <formula1>"ISO 7730,ASHRAE 55 Static,ASHRAE 55 Adaptive,EN 15251 / EN 16798,Own model,Not specified"</formula1>
    </dataValidation>
    <dataValidation type="list" allowBlank="1" showInputMessage="1" promptTitle="Occupant_feedback" prompt="Is real occupant feedback incorporated?" sqref="X3:X84" xr:uid="{00000000-0002-0000-0000-000009000000}">
      <formula1>"Yes — surveys,Yes — physiological,No,Indirect only"</formula1>
    </dataValidation>
    <dataValidation type="list" allowBlank="1" showInputMessage="1" promptTitle="TC_season_focus" prompt="Predominant season or period of analysis" sqref="Y3:Y84" xr:uid="{00000000-0002-0000-0000-00000A000000}">
      <formula1>"Heating,Cooling,Both,Transition,All year"</formula1>
    </dataValidation>
    <dataValidation type="list" allowBlank="1" showInputMessage="1" promptTitle="Energy_metric" prompt="Primary energy indicator reported" sqref="Z3:Z84" xr:uid="{00000000-0002-0000-0000-00000B000000}">
      <formula1>"EUI (kWh/m²·yr),HVAC load (kWh),% energy saving,Peak demand (kW),CO2 emissions (kgCO2),Multiple,Not assessed"</formula1>
    </dataValidation>
    <dataValidation type="list" allowBlank="1" showInputMessage="1" promptTitle="Energy_baseline" prompt="Is an energy comparison baseline declared?" sqref="AB3:AB84" xr:uid="{00000000-0002-0000-0000-00000C000000}">
      <formula1>"Yes — reference building,Yes — rule-based baseline,Yes — pre-retrofit,No baseline,Not applicable"</formula1>
    </dataValidation>
    <dataValidation type="list" allowBlank="1" showInputMessage="1" promptTitle="Retrofit_included" prompt="Does the study include retrofit strategies?" sqref="AC3:AC84" xr:uid="{00000000-0002-0000-0000-00000D000000}">
      <formula1>"Yes — envelope,Yes — systems,Yes — both,No,Not specified"</formula1>
    </dataValidation>
    <dataValidation type="list" allowBlank="1" showInputMessage="1" promptTitle="Ventilation_type" prompt="Primary ventilation type analysed" sqref="AE3:AE84" xr:uid="{00000000-0002-0000-0000-00000E000000}">
      <formula1>"Natural,Hybrid,Mixed-mode,Mechanical (for comparison),Multiple"</formula1>
    </dataValidation>
    <dataValidation type="list" allowBlank="1" showInputMessage="1" promptTitle="Optim_method" prompt="Primary optimisation or control method" sqref="AF3:AF84" xr:uid="{00000000-0002-0000-0000-00000F000000}">
      <formula1>"NSGA-II,NSGA-III,GA (single-obj),PSO,Bayesian,MPC,Fuzzy logic,Rule-based,Reinforcement Learning,Exhaustive/parametric,MCDM,ANN surrogate,XGBoost surrogate,Multiple,None (descriptive),Other"</formula1>
    </dataValidation>
    <dataValidation type="list" allowBlank="1" showInputMessage="1" promptTitle="Problem_formulation" prompt="Optimisation problem formulation" sqref="AG3:AG84" xr:uid="{00000000-0002-0000-0000-000010000000}">
      <formula1>"Single-objective,Multi-objective unconstrained,Multi-objective constrained,Pareto front,Lexicographic,Not optimization"</formula1>
    </dataValidation>
    <dataValidation type="list" allowBlank="1" showInputMessage="1" promptTitle="Decision_var_primary" prompt="Primary decision variable of the optimisation problem" sqref="AH3:AH84" xr:uid="{00000000-0002-0000-0000-000011000000}">
      <formula1>"Window opening schedule,Window aperture size,CO2/IAQ set-point,Temperature set-point,Ventilation rate,Shading control,Envelope parameter,Multiple,Other"</formula1>
    </dataValidation>
    <dataValidation type="list" allowBlank="1" showInputMessage="1" promptTitle="Surrogate_model" prompt="Surrogate model used, if any" sqref="AI3:AI84" xr:uid="{00000000-0002-0000-0000-000012000000}">
      <formula1>"ANN,XGBoost,Gaussian Process,Random Forest,Response Surface,None,Other"</formula1>
    </dataValidation>
    <dataValidation type="list" allowBlank="1" showInputMessage="1" promptTitle="Performance_feedback" prompt="Source of performance feedback for optimisation" sqref="AJ3:AJ84" xr:uid="{00000000-0002-0000-0000-000013000000}">
      <formula1>"Simulation only,Monitored data only,Simulation + monitoring,Not specified"</formula1>
    </dataValidation>
    <dataValidation type="list" allowBlank="1" showInputMessage="1" promptTitle="Stochastic_occupancy" prompt="Is occupancy modelled stochastically or adaptively?" sqref="AL3:AL84" xr:uid="{00000000-0002-0000-0000-000014000000}">
      <formula1>"Yes,No,Partially,Not applicable"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workbookViewId="0"/>
  </sheetViews>
  <sheetFormatPr baseColWidth="10" defaultColWidth="9.140625" defaultRowHeight="15" x14ac:dyDescent="0.25"/>
  <cols>
    <col min="1" max="1" width="6" customWidth="1"/>
    <col min="2" max="3" width="28" customWidth="1"/>
    <col min="4" max="4" width="12" customWidth="1"/>
    <col min="5" max="5" width="50" customWidth="1"/>
    <col min="6" max="6" width="45" customWidth="1"/>
  </cols>
  <sheetData>
    <row r="1" spans="1:6" ht="21.95" customHeight="1" x14ac:dyDescent="0.25">
      <c r="A1" s="11" t="s">
        <v>1032</v>
      </c>
      <c r="B1" s="11" t="s">
        <v>1033</v>
      </c>
      <c r="C1" s="11" t="s">
        <v>1034</v>
      </c>
      <c r="D1" s="11" t="s">
        <v>1035</v>
      </c>
      <c r="E1" s="11" t="s">
        <v>1036</v>
      </c>
      <c r="F1" s="11" t="s">
        <v>1037</v>
      </c>
    </row>
    <row r="2" spans="1:6" ht="27.95" customHeight="1" x14ac:dyDescent="0.25">
      <c r="A2" s="12" t="s">
        <v>1038</v>
      </c>
      <c r="B2" s="12" t="s">
        <v>0</v>
      </c>
      <c r="C2" s="12" t="s">
        <v>6</v>
      </c>
      <c r="D2" s="12" t="s">
        <v>1039</v>
      </c>
      <c r="E2" s="12" t="s">
        <v>1040</v>
      </c>
      <c r="F2" s="12" t="s">
        <v>1041</v>
      </c>
    </row>
    <row r="3" spans="1:6" ht="27.95" customHeight="1" x14ac:dyDescent="0.25">
      <c r="A3" s="8" t="s">
        <v>1042</v>
      </c>
      <c r="B3" s="8" t="s">
        <v>0</v>
      </c>
      <c r="C3" s="8" t="s">
        <v>7</v>
      </c>
      <c r="D3" s="8" t="s">
        <v>1039</v>
      </c>
      <c r="E3" s="8" t="s">
        <v>1043</v>
      </c>
      <c r="F3" s="8" t="s">
        <v>1041</v>
      </c>
    </row>
    <row r="4" spans="1:6" ht="27.95" customHeight="1" x14ac:dyDescent="0.25">
      <c r="A4" s="12" t="s">
        <v>1044</v>
      </c>
      <c r="B4" s="12" t="s">
        <v>0</v>
      </c>
      <c r="C4" s="12" t="s">
        <v>8</v>
      </c>
      <c r="D4" s="12" t="s">
        <v>1039</v>
      </c>
      <c r="E4" s="12" t="s">
        <v>1045</v>
      </c>
      <c r="F4" s="12" t="s">
        <v>1041</v>
      </c>
    </row>
    <row r="5" spans="1:6" ht="27.95" customHeight="1" x14ac:dyDescent="0.25">
      <c r="A5" s="8" t="s">
        <v>1046</v>
      </c>
      <c r="B5" s="8" t="s">
        <v>0</v>
      </c>
      <c r="C5" s="8" t="s">
        <v>9</v>
      </c>
      <c r="D5" s="8" t="s">
        <v>1047</v>
      </c>
      <c r="E5" s="8" t="s">
        <v>1048</v>
      </c>
      <c r="F5" s="8" t="s">
        <v>1041</v>
      </c>
    </row>
    <row r="6" spans="1:6" ht="27.95" customHeight="1" x14ac:dyDescent="0.25">
      <c r="A6" s="12" t="s">
        <v>1049</v>
      </c>
      <c r="B6" s="12" t="s">
        <v>0</v>
      </c>
      <c r="C6" s="12" t="s">
        <v>10</v>
      </c>
      <c r="D6" s="12" t="s">
        <v>1039</v>
      </c>
      <c r="E6" s="12" t="s">
        <v>1050</v>
      </c>
      <c r="F6" s="12" t="s">
        <v>1041</v>
      </c>
    </row>
    <row r="7" spans="1:6" ht="27.95" customHeight="1" x14ac:dyDescent="0.25">
      <c r="A7" s="8" t="s">
        <v>1051</v>
      </c>
      <c r="B7" s="8" t="s">
        <v>0</v>
      </c>
      <c r="C7" s="8" t="s">
        <v>11</v>
      </c>
      <c r="D7" s="8" t="s">
        <v>1039</v>
      </c>
      <c r="E7" s="8" t="s">
        <v>1052</v>
      </c>
      <c r="F7" s="8" t="s">
        <v>1041</v>
      </c>
    </row>
    <row r="8" spans="1:6" ht="27.95" customHeight="1" x14ac:dyDescent="0.25">
      <c r="A8" s="12" t="s">
        <v>1053</v>
      </c>
      <c r="B8" s="12" t="s">
        <v>1</v>
      </c>
      <c r="C8" s="12" t="s">
        <v>12</v>
      </c>
      <c r="D8" s="12" t="s">
        <v>1054</v>
      </c>
      <c r="E8" s="12" t="s">
        <v>1055</v>
      </c>
      <c r="F8" s="12" t="s">
        <v>1056</v>
      </c>
    </row>
    <row r="9" spans="1:6" ht="27.95" customHeight="1" x14ac:dyDescent="0.25">
      <c r="A9" s="8" t="s">
        <v>1057</v>
      </c>
      <c r="B9" s="8" t="s">
        <v>1</v>
      </c>
      <c r="C9" s="8" t="s">
        <v>13</v>
      </c>
      <c r="D9" s="8" t="s">
        <v>1054</v>
      </c>
      <c r="E9" s="8" t="s">
        <v>1058</v>
      </c>
      <c r="F9" s="8" t="s">
        <v>1059</v>
      </c>
    </row>
    <row r="10" spans="1:6" ht="27.95" customHeight="1" x14ac:dyDescent="0.25">
      <c r="A10" s="12" t="s">
        <v>1060</v>
      </c>
      <c r="B10" s="12" t="s">
        <v>1</v>
      </c>
      <c r="C10" s="12" t="s">
        <v>14</v>
      </c>
      <c r="D10" s="12" t="s">
        <v>1039</v>
      </c>
      <c r="E10" s="12" t="s">
        <v>1061</v>
      </c>
      <c r="F10" s="12" t="s">
        <v>1041</v>
      </c>
    </row>
    <row r="11" spans="1:6" ht="27.95" customHeight="1" x14ac:dyDescent="0.25">
      <c r="A11" s="8" t="s">
        <v>1062</v>
      </c>
      <c r="B11" s="8" t="s">
        <v>1</v>
      </c>
      <c r="C11" s="8" t="s">
        <v>15</v>
      </c>
      <c r="D11" s="8" t="s">
        <v>1054</v>
      </c>
      <c r="E11" s="8" t="s">
        <v>1063</v>
      </c>
      <c r="F11" s="8" t="s">
        <v>1064</v>
      </c>
    </row>
    <row r="12" spans="1:6" ht="27.95" customHeight="1" x14ac:dyDescent="0.25">
      <c r="A12" s="12" t="s">
        <v>1065</v>
      </c>
      <c r="B12" s="12" t="s">
        <v>1</v>
      </c>
      <c r="C12" s="12" t="s">
        <v>16</v>
      </c>
      <c r="D12" s="12" t="s">
        <v>1039</v>
      </c>
      <c r="E12" s="12" t="s">
        <v>1066</v>
      </c>
      <c r="F12" s="12" t="s">
        <v>1041</v>
      </c>
    </row>
    <row r="13" spans="1:6" ht="27.95" customHeight="1" x14ac:dyDescent="0.25">
      <c r="A13" s="8" t="s">
        <v>1067</v>
      </c>
      <c r="B13" s="8" t="s">
        <v>1</v>
      </c>
      <c r="C13" s="8" t="s">
        <v>17</v>
      </c>
      <c r="D13" s="8" t="s">
        <v>1054</v>
      </c>
      <c r="E13" s="8" t="s">
        <v>1068</v>
      </c>
      <c r="F13" s="8" t="s">
        <v>1069</v>
      </c>
    </row>
    <row r="14" spans="1:6" ht="27.95" customHeight="1" x14ac:dyDescent="0.25">
      <c r="A14" s="12" t="s">
        <v>1070</v>
      </c>
      <c r="B14" s="12" t="s">
        <v>1</v>
      </c>
      <c r="C14" s="12" t="s">
        <v>18</v>
      </c>
      <c r="D14" s="12" t="s">
        <v>1039</v>
      </c>
      <c r="E14" s="12" t="s">
        <v>1071</v>
      </c>
      <c r="F14" s="12" t="s">
        <v>1041</v>
      </c>
    </row>
    <row r="15" spans="1:6" ht="27.95" customHeight="1" x14ac:dyDescent="0.25">
      <c r="A15" s="8" t="s">
        <v>1072</v>
      </c>
      <c r="B15" s="8" t="s">
        <v>2</v>
      </c>
      <c r="C15" s="8" t="s">
        <v>19</v>
      </c>
      <c r="D15" s="8" t="s">
        <v>1054</v>
      </c>
      <c r="E15" s="8" t="s">
        <v>1073</v>
      </c>
      <c r="F15" s="8" t="s">
        <v>1074</v>
      </c>
    </row>
    <row r="16" spans="1:6" ht="27.95" customHeight="1" x14ac:dyDescent="0.25">
      <c r="A16" s="12" t="s">
        <v>1075</v>
      </c>
      <c r="B16" s="12" t="s">
        <v>2</v>
      </c>
      <c r="C16" s="12" t="s">
        <v>20</v>
      </c>
      <c r="D16" s="12" t="s">
        <v>1047</v>
      </c>
      <c r="E16" s="12" t="s">
        <v>1076</v>
      </c>
      <c r="F16" s="12" t="s">
        <v>1041</v>
      </c>
    </row>
    <row r="17" spans="1:6" ht="27.95" customHeight="1" x14ac:dyDescent="0.25">
      <c r="A17" s="8" t="s">
        <v>1077</v>
      </c>
      <c r="B17" s="8" t="s">
        <v>2</v>
      </c>
      <c r="C17" s="8" t="s">
        <v>21</v>
      </c>
      <c r="D17" s="8" t="s">
        <v>1054</v>
      </c>
      <c r="E17" s="8" t="s">
        <v>1078</v>
      </c>
      <c r="F17" s="8" t="s">
        <v>1079</v>
      </c>
    </row>
    <row r="18" spans="1:6" ht="27.95" customHeight="1" x14ac:dyDescent="0.25">
      <c r="A18" s="12" t="s">
        <v>1080</v>
      </c>
      <c r="B18" s="12" t="s">
        <v>2</v>
      </c>
      <c r="C18" s="12" t="s">
        <v>22</v>
      </c>
      <c r="D18" s="12" t="s">
        <v>1039</v>
      </c>
      <c r="E18" s="12" t="s">
        <v>1081</v>
      </c>
      <c r="F18" s="12" t="s">
        <v>1041</v>
      </c>
    </row>
    <row r="19" spans="1:6" ht="27.95" customHeight="1" x14ac:dyDescent="0.25">
      <c r="A19" s="8" t="s">
        <v>1082</v>
      </c>
      <c r="B19" s="8" t="s">
        <v>2</v>
      </c>
      <c r="C19" s="8" t="s">
        <v>23</v>
      </c>
      <c r="D19" s="8" t="s">
        <v>1039</v>
      </c>
      <c r="E19" s="8" t="s">
        <v>1083</v>
      </c>
      <c r="F19" s="8" t="s">
        <v>1041</v>
      </c>
    </row>
    <row r="20" spans="1:6" ht="27.95" customHeight="1" x14ac:dyDescent="0.25">
      <c r="A20" s="12" t="s">
        <v>1084</v>
      </c>
      <c r="B20" s="12" t="s">
        <v>2</v>
      </c>
      <c r="C20" s="12" t="s">
        <v>24</v>
      </c>
      <c r="D20" s="12" t="s">
        <v>1054</v>
      </c>
      <c r="E20" s="12" t="s">
        <v>1085</v>
      </c>
      <c r="F20" s="12" t="s">
        <v>1086</v>
      </c>
    </row>
    <row r="21" spans="1:6" ht="27.95" customHeight="1" x14ac:dyDescent="0.25">
      <c r="A21" s="8" t="s">
        <v>1087</v>
      </c>
      <c r="B21" s="8" t="s">
        <v>3</v>
      </c>
      <c r="C21" s="8" t="s">
        <v>25</v>
      </c>
      <c r="D21" s="8" t="s">
        <v>1054</v>
      </c>
      <c r="E21" s="8" t="s">
        <v>1088</v>
      </c>
      <c r="F21" s="8" t="s">
        <v>1089</v>
      </c>
    </row>
    <row r="22" spans="1:6" ht="27.95" customHeight="1" x14ac:dyDescent="0.25">
      <c r="A22" s="12" t="s">
        <v>1090</v>
      </c>
      <c r="B22" s="12" t="s">
        <v>3</v>
      </c>
      <c r="C22" s="12" t="s">
        <v>26</v>
      </c>
      <c r="D22" s="12" t="s">
        <v>1047</v>
      </c>
      <c r="E22" s="12" t="s">
        <v>1091</v>
      </c>
      <c r="F22" s="12" t="s">
        <v>1041</v>
      </c>
    </row>
    <row r="23" spans="1:6" ht="27.95" customHeight="1" x14ac:dyDescent="0.25">
      <c r="A23" s="8" t="s">
        <v>1092</v>
      </c>
      <c r="B23" s="8" t="s">
        <v>3</v>
      </c>
      <c r="C23" s="8" t="s">
        <v>27</v>
      </c>
      <c r="D23" s="8" t="s">
        <v>1047</v>
      </c>
      <c r="E23" s="8" t="s">
        <v>1093</v>
      </c>
      <c r="F23" s="8" t="s">
        <v>1041</v>
      </c>
    </row>
    <row r="24" spans="1:6" ht="27.95" customHeight="1" x14ac:dyDescent="0.25">
      <c r="A24" s="12" t="s">
        <v>1094</v>
      </c>
      <c r="B24" s="12" t="s">
        <v>3</v>
      </c>
      <c r="C24" s="12" t="s">
        <v>28</v>
      </c>
      <c r="D24" s="12" t="s">
        <v>1054</v>
      </c>
      <c r="E24" s="12" t="s">
        <v>1095</v>
      </c>
      <c r="F24" s="12" t="s">
        <v>1096</v>
      </c>
    </row>
    <row r="25" spans="1:6" ht="27.95" customHeight="1" x14ac:dyDescent="0.25">
      <c r="A25" s="8" t="s">
        <v>1097</v>
      </c>
      <c r="B25" s="8" t="s">
        <v>3</v>
      </c>
      <c r="C25" s="8" t="s">
        <v>29</v>
      </c>
      <c r="D25" s="8" t="s">
        <v>1054</v>
      </c>
      <c r="E25" s="8" t="s">
        <v>1098</v>
      </c>
      <c r="F25" s="8" t="s">
        <v>1099</v>
      </c>
    </row>
    <row r="26" spans="1:6" ht="27.95" customHeight="1" x14ac:dyDescent="0.25">
      <c r="A26" s="12" t="s">
        <v>1100</v>
      </c>
      <c r="B26" s="12" t="s">
        <v>3</v>
      </c>
      <c r="C26" s="12" t="s">
        <v>30</v>
      </c>
      <c r="D26" s="12" t="s">
        <v>1054</v>
      </c>
      <c r="E26" s="12" t="s">
        <v>1101</v>
      </c>
      <c r="F26" s="12" t="s">
        <v>1102</v>
      </c>
    </row>
    <row r="27" spans="1:6" ht="27.95" customHeight="1" x14ac:dyDescent="0.25">
      <c r="A27" s="8" t="s">
        <v>1103</v>
      </c>
      <c r="B27" s="8" t="s">
        <v>4</v>
      </c>
      <c r="C27" s="8" t="s">
        <v>31</v>
      </c>
      <c r="D27" s="8" t="s">
        <v>1054</v>
      </c>
      <c r="E27" s="8" t="s">
        <v>1104</v>
      </c>
      <c r="F27" s="8" t="s">
        <v>1105</v>
      </c>
    </row>
    <row r="28" spans="1:6" ht="27.95" customHeight="1" x14ac:dyDescent="0.25">
      <c r="A28" s="12" t="s">
        <v>1106</v>
      </c>
      <c r="B28" s="12" t="s">
        <v>4</v>
      </c>
      <c r="C28" s="12" t="s">
        <v>32</v>
      </c>
      <c r="D28" s="12" t="s">
        <v>1047</v>
      </c>
      <c r="E28" s="12" t="s">
        <v>1107</v>
      </c>
      <c r="F28" s="12" t="s">
        <v>1041</v>
      </c>
    </row>
    <row r="29" spans="1:6" ht="27.95" customHeight="1" x14ac:dyDescent="0.25">
      <c r="A29" s="8" t="s">
        <v>1108</v>
      </c>
      <c r="B29" s="8" t="s">
        <v>4</v>
      </c>
      <c r="C29" s="8" t="s">
        <v>33</v>
      </c>
      <c r="D29" s="8" t="s">
        <v>1054</v>
      </c>
      <c r="E29" s="8" t="s">
        <v>1109</v>
      </c>
      <c r="F29" s="8" t="s">
        <v>1110</v>
      </c>
    </row>
    <row r="30" spans="1:6" ht="27.95" customHeight="1" x14ac:dyDescent="0.25">
      <c r="A30" s="12" t="s">
        <v>1111</v>
      </c>
      <c r="B30" s="12" t="s">
        <v>4</v>
      </c>
      <c r="C30" s="12" t="s">
        <v>34</v>
      </c>
      <c r="D30" s="12" t="s">
        <v>1054</v>
      </c>
      <c r="E30" s="12" t="s">
        <v>1112</v>
      </c>
      <c r="F30" s="12" t="s">
        <v>1113</v>
      </c>
    </row>
    <row r="31" spans="1:6" ht="27.95" customHeight="1" x14ac:dyDescent="0.25">
      <c r="A31" s="8" t="s">
        <v>1114</v>
      </c>
      <c r="B31" s="8" t="s">
        <v>4</v>
      </c>
      <c r="C31" s="8" t="s">
        <v>35</v>
      </c>
      <c r="D31" s="8" t="s">
        <v>1039</v>
      </c>
      <c r="E31" s="8" t="s">
        <v>1115</v>
      </c>
      <c r="F31" s="8" t="s">
        <v>1041</v>
      </c>
    </row>
    <row r="32" spans="1:6" ht="27.95" customHeight="1" x14ac:dyDescent="0.25">
      <c r="A32" s="12" t="s">
        <v>1116</v>
      </c>
      <c r="B32" s="12" t="s">
        <v>5</v>
      </c>
      <c r="C32" s="12" t="s">
        <v>36</v>
      </c>
      <c r="D32" s="12" t="s">
        <v>1054</v>
      </c>
      <c r="E32" s="12" t="s">
        <v>1117</v>
      </c>
      <c r="F32" s="12" t="s">
        <v>1118</v>
      </c>
    </row>
    <row r="33" spans="1:6" ht="27.95" customHeight="1" x14ac:dyDescent="0.25">
      <c r="A33" s="8" t="s">
        <v>1119</v>
      </c>
      <c r="B33" s="8" t="s">
        <v>5</v>
      </c>
      <c r="C33" s="8" t="s">
        <v>37</v>
      </c>
      <c r="D33" s="8" t="s">
        <v>1054</v>
      </c>
      <c r="E33" s="8" t="s">
        <v>1120</v>
      </c>
      <c r="F33" s="8" t="s">
        <v>1121</v>
      </c>
    </row>
    <row r="34" spans="1:6" ht="27.95" customHeight="1" x14ac:dyDescent="0.25">
      <c r="A34" s="12" t="s">
        <v>1122</v>
      </c>
      <c r="B34" s="12" t="s">
        <v>5</v>
      </c>
      <c r="C34" s="12" t="s">
        <v>38</v>
      </c>
      <c r="D34" s="12" t="s">
        <v>1054</v>
      </c>
      <c r="E34" s="12" t="s">
        <v>1123</v>
      </c>
      <c r="F34" s="12" t="s">
        <v>1124</v>
      </c>
    </row>
    <row r="35" spans="1:6" ht="27.95" customHeight="1" x14ac:dyDescent="0.25">
      <c r="A35" s="8" t="s">
        <v>1125</v>
      </c>
      <c r="B35" s="8" t="s">
        <v>5</v>
      </c>
      <c r="C35" s="8" t="s">
        <v>39</v>
      </c>
      <c r="D35" s="8" t="s">
        <v>1054</v>
      </c>
      <c r="E35" s="8" t="s">
        <v>1126</v>
      </c>
      <c r="F35" s="8" t="s">
        <v>1127</v>
      </c>
    </row>
    <row r="36" spans="1:6" ht="27.95" customHeight="1" x14ac:dyDescent="0.25">
      <c r="A36" s="12" t="s">
        <v>1128</v>
      </c>
      <c r="B36" s="12" t="s">
        <v>5</v>
      </c>
      <c r="C36" s="12" t="s">
        <v>40</v>
      </c>
      <c r="D36" s="12" t="s">
        <v>1054</v>
      </c>
      <c r="E36" s="12" t="s">
        <v>1129</v>
      </c>
      <c r="F36" s="12" t="s">
        <v>1130</v>
      </c>
    </row>
    <row r="37" spans="1:6" ht="27.95" customHeight="1" x14ac:dyDescent="0.25">
      <c r="A37" s="8" t="s">
        <v>1131</v>
      </c>
      <c r="B37" s="8" t="s">
        <v>5</v>
      </c>
      <c r="C37" s="8" t="s">
        <v>41</v>
      </c>
      <c r="D37" s="8" t="s">
        <v>1054</v>
      </c>
      <c r="E37" s="8" t="s">
        <v>1132</v>
      </c>
      <c r="F37" s="8" t="s">
        <v>1133</v>
      </c>
    </row>
    <row r="38" spans="1:6" ht="27.95" customHeight="1" x14ac:dyDescent="0.25">
      <c r="A38" s="12" t="s">
        <v>1134</v>
      </c>
      <c r="B38" s="12" t="s">
        <v>5</v>
      </c>
      <c r="C38" s="12" t="s">
        <v>42</v>
      </c>
      <c r="D38" s="12" t="s">
        <v>1039</v>
      </c>
      <c r="E38" s="12" t="s">
        <v>1135</v>
      </c>
      <c r="F38" s="12" t="s">
        <v>1041</v>
      </c>
    </row>
    <row r="39" spans="1:6" ht="27.95" customHeight="1" x14ac:dyDescent="0.25">
      <c r="A39" s="8" t="s">
        <v>1136</v>
      </c>
      <c r="B39" s="8" t="s">
        <v>5</v>
      </c>
      <c r="C39" s="8" t="s">
        <v>43</v>
      </c>
      <c r="D39" s="8" t="s">
        <v>1054</v>
      </c>
      <c r="E39" s="8" t="s">
        <v>1137</v>
      </c>
      <c r="F39" s="8" t="s">
        <v>1138</v>
      </c>
    </row>
    <row r="40" spans="1:6" ht="27.95" customHeight="1" x14ac:dyDescent="0.25">
      <c r="A40" s="12" t="s">
        <v>1139</v>
      </c>
      <c r="B40" s="12" t="s">
        <v>0</v>
      </c>
      <c r="C40" s="12" t="s">
        <v>44</v>
      </c>
      <c r="D40" s="12" t="s">
        <v>1039</v>
      </c>
      <c r="E40" s="12" t="s">
        <v>1140</v>
      </c>
      <c r="F40" s="12" t="s">
        <v>1041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4"/>
  <sheetViews>
    <sheetView workbookViewId="0"/>
  </sheetViews>
  <sheetFormatPr baseColWidth="10" defaultColWidth="9.140625" defaultRowHeight="15" x14ac:dyDescent="0.25"/>
  <cols>
    <col min="1" max="1" width="100" customWidth="1"/>
  </cols>
  <sheetData>
    <row r="1" spans="1:1" ht="21.95" customHeight="1" x14ac:dyDescent="0.25">
      <c r="A1" s="13" t="s">
        <v>1141</v>
      </c>
    </row>
    <row r="2" spans="1:1" ht="39.950000000000003" customHeight="1" x14ac:dyDescent="0.25">
      <c r="A2" s="14"/>
    </row>
    <row r="3" spans="1:1" ht="21.95" customHeight="1" x14ac:dyDescent="0.25">
      <c r="A3" s="15" t="s">
        <v>1142</v>
      </c>
    </row>
    <row r="4" spans="1:1" ht="39.950000000000003" customHeight="1" x14ac:dyDescent="0.25">
      <c r="A4" s="14" t="s">
        <v>1143</v>
      </c>
    </row>
    <row r="5" spans="1:1" ht="39.950000000000003" customHeight="1" x14ac:dyDescent="0.25">
      <c r="A5" s="14"/>
    </row>
    <row r="6" spans="1:1" ht="21.95" customHeight="1" x14ac:dyDescent="0.25">
      <c r="A6" s="16" t="s">
        <v>1144</v>
      </c>
    </row>
    <row r="7" spans="1:1" ht="39.950000000000003" customHeight="1" x14ac:dyDescent="0.25">
      <c r="A7" s="17" t="s">
        <v>1145</v>
      </c>
    </row>
    <row r="8" spans="1:1" ht="39.950000000000003" customHeight="1" x14ac:dyDescent="0.25">
      <c r="A8" s="17" t="s">
        <v>1146</v>
      </c>
    </row>
    <row r="9" spans="1:1" ht="39.950000000000003" customHeight="1" x14ac:dyDescent="0.25">
      <c r="A9" s="17" t="s">
        <v>1147</v>
      </c>
    </row>
    <row r="10" spans="1:1" ht="39.950000000000003" customHeight="1" x14ac:dyDescent="0.25">
      <c r="A10" s="17" t="s">
        <v>1148</v>
      </c>
    </row>
    <row r="11" spans="1:1" ht="39.950000000000003" customHeight="1" x14ac:dyDescent="0.25">
      <c r="A11" s="17" t="s">
        <v>1149</v>
      </c>
    </row>
    <row r="12" spans="1:1" ht="39.950000000000003" customHeight="1" x14ac:dyDescent="0.25">
      <c r="A12" s="14"/>
    </row>
    <row r="13" spans="1:1" ht="21.95" customHeight="1" x14ac:dyDescent="0.25">
      <c r="A13" s="18" t="s">
        <v>1150</v>
      </c>
    </row>
    <row r="14" spans="1:1" ht="39.950000000000003" customHeight="1" x14ac:dyDescent="0.25">
      <c r="A14" s="14" t="s">
        <v>1151</v>
      </c>
    </row>
    <row r="15" spans="1:1" ht="39.950000000000003" customHeight="1" x14ac:dyDescent="0.25">
      <c r="A15" s="14" t="s">
        <v>1152</v>
      </c>
    </row>
    <row r="16" spans="1:1" ht="39.950000000000003" customHeight="1" x14ac:dyDescent="0.25">
      <c r="A16" s="14" t="s">
        <v>1153</v>
      </c>
    </row>
    <row r="17" spans="1:1" ht="39.950000000000003" customHeight="1" x14ac:dyDescent="0.25">
      <c r="A17" s="14" t="s">
        <v>1154</v>
      </c>
    </row>
    <row r="18" spans="1:1" ht="39.950000000000003" customHeight="1" x14ac:dyDescent="0.25">
      <c r="A18" s="14" t="s">
        <v>1155</v>
      </c>
    </row>
    <row r="19" spans="1:1" ht="39.950000000000003" customHeight="1" x14ac:dyDescent="0.25">
      <c r="A19" s="14" t="s">
        <v>1156</v>
      </c>
    </row>
    <row r="20" spans="1:1" ht="39.950000000000003" customHeight="1" x14ac:dyDescent="0.25">
      <c r="A20" s="14"/>
    </row>
    <row r="21" spans="1:1" ht="21.95" customHeight="1" x14ac:dyDescent="0.25">
      <c r="A21" s="19" t="s">
        <v>1157</v>
      </c>
    </row>
    <row r="22" spans="1:1" ht="39.950000000000003" customHeight="1" x14ac:dyDescent="0.25">
      <c r="A22" s="14" t="s">
        <v>1158</v>
      </c>
    </row>
    <row r="23" spans="1:1" ht="39.950000000000003" customHeight="1" x14ac:dyDescent="0.25">
      <c r="A23" s="14" t="s">
        <v>1159</v>
      </c>
    </row>
    <row r="24" spans="1:1" ht="39.950000000000003" customHeight="1" x14ac:dyDescent="0.25">
      <c r="A24" s="14" t="s">
        <v>1160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9"/>
  <sheetViews>
    <sheetView workbookViewId="0"/>
  </sheetViews>
  <sheetFormatPr baseColWidth="10" defaultColWidth="9.140625" defaultRowHeight="15" x14ac:dyDescent="0.25"/>
  <cols>
    <col min="1" max="1" width="110" customWidth="1"/>
  </cols>
  <sheetData>
    <row r="1" spans="1:1" ht="14.1" customHeight="1" x14ac:dyDescent="0.25">
      <c r="A1" s="20" t="s">
        <v>1161</v>
      </c>
    </row>
    <row r="2" spans="1:1" ht="14.1" customHeight="1" x14ac:dyDescent="0.25">
      <c r="A2" s="20" t="s">
        <v>1162</v>
      </c>
    </row>
    <row r="3" spans="1:1" ht="14.1" customHeight="1" x14ac:dyDescent="0.25">
      <c r="A3" s="20" t="s">
        <v>1163</v>
      </c>
    </row>
    <row r="4" spans="1:1" ht="14.1" customHeight="1" x14ac:dyDescent="0.25">
      <c r="A4" s="20" t="s">
        <v>1164</v>
      </c>
    </row>
    <row r="5" spans="1:1" ht="14.1" customHeight="1" x14ac:dyDescent="0.25">
      <c r="A5" s="20" t="s">
        <v>1161</v>
      </c>
    </row>
    <row r="6" spans="1:1" ht="14.1" customHeight="1" x14ac:dyDescent="0.25">
      <c r="A6" s="20"/>
    </row>
    <row r="7" spans="1:1" ht="14.1" customHeight="1" x14ac:dyDescent="0.25">
      <c r="A7" s="20" t="s">
        <v>1165</v>
      </c>
    </row>
    <row r="8" spans="1:1" ht="14.1" customHeight="1" x14ac:dyDescent="0.25">
      <c r="A8" s="20" t="s">
        <v>1166</v>
      </c>
    </row>
    <row r="9" spans="1:1" ht="14.1" customHeight="1" x14ac:dyDescent="0.25">
      <c r="A9" s="20"/>
    </row>
    <row r="10" spans="1:1" ht="14.1" customHeight="1" x14ac:dyDescent="0.25">
      <c r="A10" s="20" t="s">
        <v>1167</v>
      </c>
    </row>
    <row r="11" spans="1:1" ht="14.1" customHeight="1" x14ac:dyDescent="0.25">
      <c r="A11" s="20" t="s">
        <v>1168</v>
      </c>
    </row>
    <row r="12" spans="1:1" ht="14.1" customHeight="1" x14ac:dyDescent="0.25">
      <c r="A12" s="20" t="s">
        <v>1169</v>
      </c>
    </row>
    <row r="13" spans="1:1" ht="14.1" customHeight="1" x14ac:dyDescent="0.25">
      <c r="A13" s="20" t="s">
        <v>1170</v>
      </c>
    </row>
    <row r="14" spans="1:1" ht="14.1" customHeight="1" x14ac:dyDescent="0.25">
      <c r="A14" s="20" t="s">
        <v>1171</v>
      </c>
    </row>
    <row r="15" spans="1:1" ht="14.1" customHeight="1" x14ac:dyDescent="0.25">
      <c r="A15" s="20" t="s">
        <v>1172</v>
      </c>
    </row>
    <row r="16" spans="1:1" ht="14.1" customHeight="1" x14ac:dyDescent="0.25">
      <c r="A16" s="20" t="s">
        <v>1173</v>
      </c>
    </row>
    <row r="17" spans="1:1" ht="14.1" customHeight="1" x14ac:dyDescent="0.25">
      <c r="A17" s="20"/>
    </row>
    <row r="18" spans="1:1" ht="14.1" customHeight="1" x14ac:dyDescent="0.25">
      <c r="A18" s="20" t="s">
        <v>1174</v>
      </c>
    </row>
    <row r="19" spans="1:1" ht="14.1" customHeight="1" x14ac:dyDescent="0.25">
      <c r="A19" s="20" t="s">
        <v>1175</v>
      </c>
    </row>
    <row r="20" spans="1:1" ht="14.1" customHeight="1" x14ac:dyDescent="0.25">
      <c r="A20" s="20" t="s">
        <v>1176</v>
      </c>
    </row>
    <row r="21" spans="1:1" ht="14.1" customHeight="1" x14ac:dyDescent="0.25">
      <c r="A21" s="20" t="s">
        <v>1177</v>
      </c>
    </row>
    <row r="22" spans="1:1" ht="14.1" customHeight="1" x14ac:dyDescent="0.25">
      <c r="A22" s="20" t="s">
        <v>1178</v>
      </c>
    </row>
    <row r="23" spans="1:1" ht="14.1" customHeight="1" x14ac:dyDescent="0.25">
      <c r="A23" s="20" t="s">
        <v>1179</v>
      </c>
    </row>
    <row r="24" spans="1:1" ht="14.1" customHeight="1" x14ac:dyDescent="0.25">
      <c r="A24" s="20"/>
    </row>
    <row r="25" spans="1:1" ht="14.1" customHeight="1" x14ac:dyDescent="0.25">
      <c r="A25" s="20" t="s">
        <v>1180</v>
      </c>
    </row>
    <row r="26" spans="1:1" ht="14.1" customHeight="1" x14ac:dyDescent="0.25">
      <c r="A26" s="20" t="s">
        <v>1181</v>
      </c>
    </row>
    <row r="27" spans="1:1" ht="14.1" customHeight="1" x14ac:dyDescent="0.25">
      <c r="A27" s="20" t="s">
        <v>1182</v>
      </c>
    </row>
    <row r="28" spans="1:1" ht="14.1" customHeight="1" x14ac:dyDescent="0.25">
      <c r="A28" s="20" t="s">
        <v>1183</v>
      </c>
    </row>
    <row r="29" spans="1:1" ht="14.1" customHeight="1" x14ac:dyDescent="0.25">
      <c r="A29" s="20" t="s">
        <v>1184</v>
      </c>
    </row>
    <row r="30" spans="1:1" ht="14.1" customHeight="1" x14ac:dyDescent="0.25">
      <c r="A30" s="20" t="s">
        <v>1185</v>
      </c>
    </row>
    <row r="31" spans="1:1" ht="14.1" customHeight="1" x14ac:dyDescent="0.25">
      <c r="A31" s="20"/>
    </row>
    <row r="32" spans="1:1" ht="14.1" customHeight="1" x14ac:dyDescent="0.25">
      <c r="A32" s="20" t="s">
        <v>1186</v>
      </c>
    </row>
    <row r="33" spans="1:1" ht="14.1" customHeight="1" x14ac:dyDescent="0.25">
      <c r="A33" s="20" t="s">
        <v>1187</v>
      </c>
    </row>
    <row r="34" spans="1:1" ht="14.1" customHeight="1" x14ac:dyDescent="0.25">
      <c r="A34" s="20" t="s">
        <v>1188</v>
      </c>
    </row>
    <row r="35" spans="1:1" ht="14.1" customHeight="1" x14ac:dyDescent="0.25">
      <c r="A35" s="20" t="s">
        <v>1189</v>
      </c>
    </row>
    <row r="36" spans="1:1" ht="14.1" customHeight="1" x14ac:dyDescent="0.25">
      <c r="A36" s="20" t="s">
        <v>1190</v>
      </c>
    </row>
    <row r="37" spans="1:1" ht="14.1" customHeight="1" x14ac:dyDescent="0.25">
      <c r="A37" s="20" t="s">
        <v>1191</v>
      </c>
    </row>
    <row r="38" spans="1:1" ht="14.1" customHeight="1" x14ac:dyDescent="0.25">
      <c r="A38" s="20"/>
    </row>
    <row r="39" spans="1:1" ht="14.1" customHeight="1" x14ac:dyDescent="0.25">
      <c r="A39" s="20" t="s">
        <v>1192</v>
      </c>
    </row>
    <row r="40" spans="1:1" ht="14.1" customHeight="1" x14ac:dyDescent="0.25">
      <c r="A40" s="20" t="s">
        <v>1193</v>
      </c>
    </row>
    <row r="41" spans="1:1" ht="14.1" customHeight="1" x14ac:dyDescent="0.25">
      <c r="A41" s="20" t="s">
        <v>1194</v>
      </c>
    </row>
    <row r="42" spans="1:1" ht="14.1" customHeight="1" x14ac:dyDescent="0.25">
      <c r="A42" s="20" t="s">
        <v>1195</v>
      </c>
    </row>
    <row r="43" spans="1:1" ht="14.1" customHeight="1" x14ac:dyDescent="0.25">
      <c r="A43" s="20" t="s">
        <v>1196</v>
      </c>
    </row>
    <row r="44" spans="1:1" ht="14.1" customHeight="1" x14ac:dyDescent="0.25">
      <c r="A44" s="20" t="s">
        <v>1197</v>
      </c>
    </row>
    <row r="45" spans="1:1" ht="14.1" customHeight="1" x14ac:dyDescent="0.25">
      <c r="A45" s="20"/>
    </row>
    <row r="46" spans="1:1" ht="14.1" customHeight="1" x14ac:dyDescent="0.25">
      <c r="A46" s="20" t="s">
        <v>1198</v>
      </c>
    </row>
    <row r="47" spans="1:1" ht="14.1" customHeight="1" x14ac:dyDescent="0.25">
      <c r="A47" s="20" t="s">
        <v>1199</v>
      </c>
    </row>
    <row r="48" spans="1:1" ht="14.1" customHeight="1" x14ac:dyDescent="0.25">
      <c r="A48" s="20" t="s">
        <v>1200</v>
      </c>
    </row>
    <row r="49" spans="1:1" ht="14.1" customHeight="1" x14ac:dyDescent="0.25">
      <c r="A49" s="20" t="s">
        <v>1201</v>
      </c>
    </row>
    <row r="50" spans="1:1" ht="14.1" customHeight="1" x14ac:dyDescent="0.25">
      <c r="A50" s="20" t="s">
        <v>1202</v>
      </c>
    </row>
    <row r="51" spans="1:1" ht="14.1" customHeight="1" x14ac:dyDescent="0.25">
      <c r="A51" s="20" t="s">
        <v>1203</v>
      </c>
    </row>
    <row r="52" spans="1:1" ht="14.1" customHeight="1" x14ac:dyDescent="0.25">
      <c r="A52" s="20"/>
    </row>
    <row r="53" spans="1:1" ht="14.1" customHeight="1" x14ac:dyDescent="0.25">
      <c r="A53" s="20" t="s">
        <v>1204</v>
      </c>
    </row>
    <row r="54" spans="1:1" ht="14.1" customHeight="1" x14ac:dyDescent="0.25">
      <c r="A54" s="20" t="s">
        <v>1205</v>
      </c>
    </row>
    <row r="55" spans="1:1" ht="14.1" customHeight="1" x14ac:dyDescent="0.25">
      <c r="A55" s="20" t="s">
        <v>1206</v>
      </c>
    </row>
    <row r="56" spans="1:1" ht="14.1" customHeight="1" x14ac:dyDescent="0.25">
      <c r="A56" s="20" t="s">
        <v>1207</v>
      </c>
    </row>
    <row r="57" spans="1:1" ht="14.1" customHeight="1" x14ac:dyDescent="0.25">
      <c r="A57" s="20" t="s">
        <v>1208</v>
      </c>
    </row>
    <row r="58" spans="1:1" ht="14.1" customHeight="1" x14ac:dyDescent="0.25">
      <c r="A58" s="20"/>
    </row>
    <row r="59" spans="1:1" ht="14.1" customHeight="1" x14ac:dyDescent="0.25">
      <c r="A59" s="20" t="s">
        <v>1209</v>
      </c>
    </row>
    <row r="60" spans="1:1" ht="14.1" customHeight="1" x14ac:dyDescent="0.25">
      <c r="A60" s="20" t="s">
        <v>1210</v>
      </c>
    </row>
    <row r="61" spans="1:1" ht="14.1" customHeight="1" x14ac:dyDescent="0.25">
      <c r="A61" s="20" t="s">
        <v>1211</v>
      </c>
    </row>
    <row r="62" spans="1:1" ht="14.1" customHeight="1" x14ac:dyDescent="0.25">
      <c r="A62" s="20"/>
    </row>
    <row r="63" spans="1:1" ht="14.1" customHeight="1" x14ac:dyDescent="0.25">
      <c r="A63" s="20" t="s">
        <v>1212</v>
      </c>
    </row>
    <row r="64" spans="1:1" ht="14.1" customHeight="1" x14ac:dyDescent="0.25">
      <c r="A64" s="20" t="s">
        <v>1213</v>
      </c>
    </row>
    <row r="65" spans="1:1" ht="14.1" customHeight="1" x14ac:dyDescent="0.25">
      <c r="A65" s="20" t="s">
        <v>1214</v>
      </c>
    </row>
    <row r="66" spans="1:1" ht="14.1" customHeight="1" x14ac:dyDescent="0.25">
      <c r="A66" s="20" t="s">
        <v>1215</v>
      </c>
    </row>
    <row r="67" spans="1:1" ht="14.1" customHeight="1" x14ac:dyDescent="0.25">
      <c r="A67" s="20" t="s">
        <v>1216</v>
      </c>
    </row>
    <row r="68" spans="1:1" ht="14.1" customHeight="1" x14ac:dyDescent="0.25">
      <c r="A68" s="20"/>
    </row>
    <row r="69" spans="1:1" ht="14.1" customHeight="1" x14ac:dyDescent="0.25">
      <c r="A69" s="20" t="s">
        <v>1217</v>
      </c>
    </row>
    <row r="70" spans="1:1" ht="14.1" customHeight="1" x14ac:dyDescent="0.25">
      <c r="A70" s="20" t="s">
        <v>1218</v>
      </c>
    </row>
    <row r="71" spans="1:1" ht="14.1" customHeight="1" x14ac:dyDescent="0.25">
      <c r="A71" s="20" t="s">
        <v>1219</v>
      </c>
    </row>
    <row r="72" spans="1:1" ht="14.1" customHeight="1" x14ac:dyDescent="0.25">
      <c r="A72" s="20" t="s">
        <v>1220</v>
      </c>
    </row>
    <row r="73" spans="1:1" ht="14.1" customHeight="1" x14ac:dyDescent="0.25">
      <c r="A73" s="20" t="s">
        <v>1221</v>
      </c>
    </row>
    <row r="74" spans="1:1" ht="14.1" customHeight="1" x14ac:dyDescent="0.25">
      <c r="A74" s="20" t="s">
        <v>1222</v>
      </c>
    </row>
    <row r="75" spans="1:1" ht="14.1" customHeight="1" x14ac:dyDescent="0.25">
      <c r="A75" s="20" t="s">
        <v>1223</v>
      </c>
    </row>
    <row r="76" spans="1:1" ht="14.1" customHeight="1" x14ac:dyDescent="0.25">
      <c r="A76" s="20"/>
    </row>
    <row r="77" spans="1:1" ht="14.1" customHeight="1" x14ac:dyDescent="0.25">
      <c r="A77" s="20" t="s">
        <v>1224</v>
      </c>
    </row>
    <row r="78" spans="1:1" ht="14.1" customHeight="1" x14ac:dyDescent="0.25">
      <c r="A78" s="20" t="s">
        <v>1225</v>
      </c>
    </row>
    <row r="79" spans="1:1" ht="14.1" customHeight="1" x14ac:dyDescent="0.25">
      <c r="A79" s="2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S11_Extraction</vt:lpstr>
      <vt:lpstr>Dictionary</vt:lpstr>
      <vt:lpstr>Instructions</vt:lpstr>
      <vt:lpstr>Script_S12_R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Sanchez Cordero</cp:lastModifiedBy>
  <dcterms:created xsi:type="dcterms:W3CDTF">2026-05-19T06:10:08Z</dcterms:created>
  <dcterms:modified xsi:type="dcterms:W3CDTF">2026-09-29T09:21:41Z</dcterms:modified>
</cp:coreProperties>
</file>